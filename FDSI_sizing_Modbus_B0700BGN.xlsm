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375" yWindow="660" windowWidth="15480" windowHeight="7560"/>
  </bookViews>
  <sheets>
    <sheet name="Summary" sheetId="13" r:id="rId1"/>
    <sheet name="Inputs" sheetId="2" r:id="rId2"/>
    <sheet name="Outputs" sheetId="7" r:id="rId3"/>
    <sheet name="Reference" sheetId="8" r:id="rId4"/>
  </sheets>
  <definedNames>
    <definedName name="Baud_Rate">Reference!$B$50:$B$57</definedName>
    <definedName name="Input_Blocks">Reference!$A$14:$A$17</definedName>
    <definedName name="Output_Blocks">Reference!$C$14:$C$17</definedName>
  </definedNames>
  <calcPr calcId="125725"/>
</workbook>
</file>

<file path=xl/calcChain.xml><?xml version="1.0" encoding="utf-8"?>
<calcChain xmlns="http://schemas.openxmlformats.org/spreadsheetml/2006/main">
  <c r="D2" i="7"/>
  <c r="D51" i="2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F46" i="8" l="1"/>
  <c r="F41"/>
  <c r="C26"/>
  <c r="F26" s="1"/>
  <c r="C27"/>
  <c r="C28"/>
  <c r="C29"/>
  <c r="C30"/>
  <c r="C31"/>
  <c r="C32"/>
  <c r="C33"/>
  <c r="C34"/>
  <c r="C35"/>
  <c r="C36"/>
  <c r="C37"/>
  <c r="C38"/>
  <c r="C25"/>
  <c r="K28" i="13"/>
  <c r="E23"/>
  <c r="E22"/>
  <c r="E21"/>
  <c r="E20"/>
  <c r="E19"/>
  <c r="E16"/>
  <c r="E15"/>
  <c r="E14"/>
  <c r="E13"/>
  <c r="E12"/>
  <c r="C8" i="8" l="1"/>
  <c r="E28" i="13" s="1"/>
  <c r="G45" i="8"/>
  <c r="G24"/>
  <c r="G34"/>
  <c r="G36"/>
  <c r="G38"/>
  <c r="G25"/>
  <c r="H45" l="1"/>
  <c r="H46" s="1"/>
  <c r="G46"/>
  <c r="H24"/>
  <c r="H41" s="1"/>
  <c r="G41"/>
  <c r="G37"/>
  <c r="G32"/>
  <c r="G30"/>
  <c r="G26"/>
  <c r="I45"/>
  <c r="G35"/>
  <c r="G33"/>
  <c r="G31"/>
  <c r="G29"/>
  <c r="G27"/>
  <c r="I24"/>
  <c r="I41" s="1"/>
  <c r="X38"/>
  <c r="V38"/>
  <c r="T38"/>
  <c r="R38"/>
  <c r="P38"/>
  <c r="X34"/>
  <c r="V34"/>
  <c r="T34"/>
  <c r="R34"/>
  <c r="P34"/>
  <c r="X25"/>
  <c r="V25"/>
  <c r="T25"/>
  <c r="R25"/>
  <c r="P25"/>
  <c r="Y38"/>
  <c r="W38"/>
  <c r="U38"/>
  <c r="S38"/>
  <c r="Q38"/>
  <c r="Y34"/>
  <c r="W34"/>
  <c r="U34"/>
  <c r="S34"/>
  <c r="Q34"/>
  <c r="Y25"/>
  <c r="W25"/>
  <c r="U25"/>
  <c r="S25"/>
  <c r="Q25"/>
  <c r="H28"/>
  <c r="F28"/>
  <c r="H27"/>
  <c r="F27"/>
  <c r="H26"/>
  <c r="N25"/>
  <c r="L25"/>
  <c r="J25"/>
  <c r="H25"/>
  <c r="F25"/>
  <c r="N38"/>
  <c r="L38"/>
  <c r="J38"/>
  <c r="H38"/>
  <c r="F38"/>
  <c r="H37"/>
  <c r="F37"/>
  <c r="H36"/>
  <c r="F36"/>
  <c r="H35"/>
  <c r="F35"/>
  <c r="N34"/>
  <c r="L34"/>
  <c r="J34"/>
  <c r="H34"/>
  <c r="F34"/>
  <c r="H33"/>
  <c r="F33"/>
  <c r="H32"/>
  <c r="F32"/>
  <c r="H31"/>
  <c r="F31"/>
  <c r="H30"/>
  <c r="F30"/>
  <c r="H29"/>
  <c r="F29"/>
  <c r="I28"/>
  <c r="G28"/>
  <c r="G40" s="1"/>
  <c r="I27"/>
  <c r="I26"/>
  <c r="O25"/>
  <c r="M25"/>
  <c r="K25"/>
  <c r="I25"/>
  <c r="O38"/>
  <c r="M38"/>
  <c r="K38"/>
  <c r="I38"/>
  <c r="I37"/>
  <c r="I36"/>
  <c r="I35"/>
  <c r="O34"/>
  <c r="M34"/>
  <c r="K34"/>
  <c r="I34"/>
  <c r="I33"/>
  <c r="I32"/>
  <c r="I31"/>
  <c r="I30"/>
  <c r="I29"/>
  <c r="J45" l="1"/>
  <c r="I46"/>
  <c r="J24"/>
  <c r="J41" s="1"/>
  <c r="F40"/>
  <c r="H40"/>
  <c r="I40"/>
  <c r="K45" l="1"/>
  <c r="J46"/>
  <c r="K24"/>
  <c r="K41" s="1"/>
  <c r="J28"/>
  <c r="J26"/>
  <c r="J36"/>
  <c r="J32"/>
  <c r="J30"/>
  <c r="J27"/>
  <c r="J37"/>
  <c r="J35"/>
  <c r="J33"/>
  <c r="J31"/>
  <c r="J29"/>
  <c r="K46" l="1"/>
  <c r="L45"/>
  <c r="K28"/>
  <c r="K27"/>
  <c r="K26"/>
  <c r="K37"/>
  <c r="K36"/>
  <c r="K35"/>
  <c r="K33"/>
  <c r="K32"/>
  <c r="K31"/>
  <c r="K30"/>
  <c r="K29"/>
  <c r="L24"/>
  <c r="L41" s="1"/>
  <c r="J40"/>
  <c r="L46" l="1"/>
  <c r="M45"/>
  <c r="K40"/>
  <c r="L27"/>
  <c r="L35"/>
  <c r="L31"/>
  <c r="L26"/>
  <c r="L32"/>
  <c r="M24"/>
  <c r="M41" s="1"/>
  <c r="L28"/>
  <c r="L37"/>
  <c r="L33"/>
  <c r="L29"/>
  <c r="L36"/>
  <c r="L30"/>
  <c r="M46" l="1"/>
  <c r="N45"/>
  <c r="M28"/>
  <c r="M26"/>
  <c r="M36"/>
  <c r="M33"/>
  <c r="M31"/>
  <c r="M29"/>
  <c r="N24"/>
  <c r="N41" s="1"/>
  <c r="M27"/>
  <c r="M37"/>
  <c r="M35"/>
  <c r="M32"/>
  <c r="M30"/>
  <c r="L40"/>
  <c r="N46" l="1"/>
  <c r="O45"/>
  <c r="M40"/>
  <c r="O24"/>
  <c r="O41" s="1"/>
  <c r="N28"/>
  <c r="N36"/>
  <c r="N30"/>
  <c r="N37"/>
  <c r="N33"/>
  <c r="N29"/>
  <c r="N26"/>
  <c r="N32"/>
  <c r="N27"/>
  <c r="N35"/>
  <c r="N31"/>
  <c r="O46" l="1"/>
  <c r="P45"/>
  <c r="P24"/>
  <c r="P41" s="1"/>
  <c r="O26"/>
  <c r="O36"/>
  <c r="O33"/>
  <c r="O31"/>
  <c r="O29"/>
  <c r="O27"/>
  <c r="O37"/>
  <c r="O35"/>
  <c r="O32"/>
  <c r="O30"/>
  <c r="O28"/>
  <c r="N40"/>
  <c r="P46" l="1"/>
  <c r="Q45"/>
  <c r="P32"/>
  <c r="P28"/>
  <c r="P37"/>
  <c r="P33"/>
  <c r="P29"/>
  <c r="Q24"/>
  <c r="Q41" s="1"/>
  <c r="P36"/>
  <c r="P30"/>
  <c r="P26"/>
  <c r="P35"/>
  <c r="P31"/>
  <c r="P27"/>
  <c r="N47"/>
  <c r="L47"/>
  <c r="O40"/>
  <c r="H47" s="1"/>
  <c r="K47"/>
  <c r="F47" l="1"/>
  <c r="G47"/>
  <c r="I47"/>
  <c r="Q46"/>
  <c r="R45"/>
  <c r="J47"/>
  <c r="O47"/>
  <c r="Q47"/>
  <c r="M47"/>
  <c r="R47"/>
  <c r="P47"/>
  <c r="P40"/>
  <c r="R24"/>
  <c r="R41" s="1"/>
  <c r="Q36"/>
  <c r="Q30"/>
  <c r="Q28"/>
  <c r="Q35"/>
  <c r="Q31"/>
  <c r="Q26"/>
  <c r="Q32"/>
  <c r="Q27"/>
  <c r="Q37"/>
  <c r="Q33"/>
  <c r="Q29"/>
  <c r="R46" l="1"/>
  <c r="S45"/>
  <c r="S24"/>
  <c r="S41" s="1"/>
  <c r="R37"/>
  <c r="R33"/>
  <c r="R29"/>
  <c r="R36"/>
  <c r="R30"/>
  <c r="R26"/>
  <c r="R35"/>
  <c r="R31"/>
  <c r="R27"/>
  <c r="R32"/>
  <c r="R28"/>
  <c r="Q40"/>
  <c r="S46" l="1"/>
  <c r="S47"/>
  <c r="T45"/>
  <c r="T24"/>
  <c r="T41" s="1"/>
  <c r="S37"/>
  <c r="S33"/>
  <c r="S29"/>
  <c r="S36"/>
  <c r="S30"/>
  <c r="S27"/>
  <c r="S35"/>
  <c r="S31"/>
  <c r="S26"/>
  <c r="S32"/>
  <c r="S28"/>
  <c r="R40"/>
  <c r="T46" l="1"/>
  <c r="U45"/>
  <c r="T47"/>
  <c r="T32"/>
  <c r="T28"/>
  <c r="T37"/>
  <c r="T33"/>
  <c r="T29"/>
  <c r="U24"/>
  <c r="U41" s="1"/>
  <c r="T36"/>
  <c r="T30"/>
  <c r="T26"/>
  <c r="T35"/>
  <c r="T31"/>
  <c r="T27"/>
  <c r="S40"/>
  <c r="U46" l="1"/>
  <c r="U47"/>
  <c r="V45"/>
  <c r="U32"/>
  <c r="U28"/>
  <c r="U37"/>
  <c r="U33"/>
  <c r="U29"/>
  <c r="V24"/>
  <c r="V41" s="1"/>
  <c r="U36"/>
  <c r="U30"/>
  <c r="U27"/>
  <c r="U35"/>
  <c r="U31"/>
  <c r="U26"/>
  <c r="T40"/>
  <c r="V46" l="1"/>
  <c r="W45"/>
  <c r="V47"/>
  <c r="V35"/>
  <c r="V31"/>
  <c r="V27"/>
  <c r="V32"/>
  <c r="V28"/>
  <c r="W24"/>
  <c r="W41" s="1"/>
  <c r="V37"/>
  <c r="V33"/>
  <c r="V29"/>
  <c r="V36"/>
  <c r="V30"/>
  <c r="V26"/>
  <c r="U40"/>
  <c r="W46" l="1"/>
  <c r="W47"/>
  <c r="X45"/>
  <c r="X24"/>
  <c r="X41" s="1"/>
  <c r="W35"/>
  <c r="W31"/>
  <c r="W26"/>
  <c r="W32"/>
  <c r="W28"/>
  <c r="W37"/>
  <c r="W33"/>
  <c r="W29"/>
  <c r="W36"/>
  <c r="W30"/>
  <c r="W27"/>
  <c r="V40"/>
  <c r="X46" l="1"/>
  <c r="Y45"/>
  <c r="X47"/>
  <c r="Y24"/>
  <c r="Y41" s="1"/>
  <c r="X36"/>
  <c r="X30"/>
  <c r="X26"/>
  <c r="X35"/>
  <c r="X31"/>
  <c r="X27"/>
  <c r="X32"/>
  <c r="X28"/>
  <c r="X37"/>
  <c r="X33"/>
  <c r="X29"/>
  <c r="W40"/>
  <c r="Y46" l="1"/>
  <c r="Y47"/>
  <c r="Y32"/>
  <c r="Y28"/>
  <c r="Y37"/>
  <c r="Y33"/>
  <c r="Y29"/>
  <c r="Y36"/>
  <c r="Y30"/>
  <c r="Y27"/>
  <c r="Y35"/>
  <c r="Y31"/>
  <c r="Y26"/>
  <c r="X40"/>
  <c r="E29" i="13" l="1"/>
  <c r="E30" s="1"/>
  <c r="Y40" i="8"/>
  <c r="E32" i="13" l="1"/>
</calcChain>
</file>

<file path=xl/sharedStrings.xml><?xml version="1.0" encoding="utf-8"?>
<sst xmlns="http://schemas.openxmlformats.org/spreadsheetml/2006/main" count="294" uniqueCount="222">
  <si>
    <t>BIN</t>
  </si>
  <si>
    <t>IIN</t>
  </si>
  <si>
    <t>RIN</t>
  </si>
  <si>
    <t>PAKIN</t>
  </si>
  <si>
    <t>BOUT</t>
  </si>
  <si>
    <t>IOUT</t>
  </si>
  <si>
    <t>ROUT</t>
  </si>
  <si>
    <t>PAKOUT</t>
  </si>
  <si>
    <t>Period</t>
  </si>
  <si>
    <t>Time (sec)</t>
  </si>
  <si>
    <t>Period Table</t>
  </si>
  <si>
    <t>Scan time</t>
  </si>
  <si>
    <t>CP BPC</t>
  </si>
  <si>
    <t>seconds</t>
  </si>
  <si>
    <t>milliseconds</t>
  </si>
  <si>
    <t>Configured driver scan rate</t>
  </si>
  <si>
    <t>Input Blocks</t>
  </si>
  <si>
    <t>Output Blocks</t>
  </si>
  <si>
    <t>Write time</t>
  </si>
  <si>
    <t>Total Load</t>
  </si>
  <si>
    <t>No. Phase</t>
  </si>
  <si>
    <t>Output Blocks/Phase</t>
  </si>
  <si>
    <t>Outputs/Scan</t>
  </si>
  <si>
    <t>scan</t>
  </si>
  <si>
    <t>time</t>
  </si>
  <si>
    <t>count</t>
  </si>
  <si>
    <t>phase</t>
  </si>
  <si>
    <t>total</t>
  </si>
  <si>
    <t>Configuration</t>
  </si>
  <si>
    <t>Loading</t>
  </si>
  <si>
    <t>Total input blocks</t>
  </si>
  <si>
    <t>Total output blocks</t>
  </si>
  <si>
    <t>Instructions:</t>
  </si>
  <si>
    <t>1)</t>
  </si>
  <si>
    <t>2)</t>
  </si>
  <si>
    <t>3)</t>
  </si>
  <si>
    <t>4)</t>
  </si>
  <si>
    <t>Enable macros for this workbook.</t>
  </si>
  <si>
    <t>5)</t>
  </si>
  <si>
    <t>Click on the "Re-calculate" button in the Loading section of this sheet.  Click this button anytime the entries in the "Inputs" or "Outputs" sheet have been modified.</t>
  </si>
  <si>
    <t>6)</t>
  </si>
  <si>
    <t>%</t>
  </si>
  <si>
    <t>Max loading</t>
  </si>
  <si>
    <r>
      <rPr>
        <sz val="11"/>
        <color theme="1"/>
        <rFont val="Calibri"/>
        <family val="2"/>
      </rPr>
      <t xml:space="preserve">→ </t>
    </r>
    <r>
      <rPr>
        <sz val="11"/>
        <color theme="1"/>
        <rFont val="Calibri"/>
        <family val="2"/>
        <scheme val="minor"/>
      </rPr>
      <t>suggested number of FDSI(s)</t>
    </r>
  </si>
  <si>
    <t>Do not directly edit contents of this sheet!!!</t>
  </si>
  <si>
    <t>Tips:</t>
  </si>
  <si>
    <t>Distribute load evenly over the phases, and reduce any large values.  Loading is based on the max value.</t>
  </si>
  <si>
    <t>Writes Percentage</t>
  </si>
  <si>
    <t>Device response time</t>
  </si>
  <si>
    <t>On this sheet, fill in configuration parameters (i.e., CP BPC, Configured driver scan rate, device response time, Writes Percentage)
NOTE: Device response time is unique to your configuration.</t>
  </si>
  <si>
    <t>On "Inputs" sheet, enter all input points.  The critical information is the Modbus register address (in PNT_NO) field.  For PNT_NO field, use the same address syntax as recommended for the DCI block PNT_NO parameter.</t>
  </si>
  <si>
    <t xml:space="preserve">On "Outputs" sheet, enter all output points.  The critical information is the Modbus register address (in PNT_NO field), Period, and Phase.  For period and phase, it is acceptable to use the upstream source block's period and phase if it is slower than the output block. </t>
  </si>
  <si>
    <t>FDSI overhead processing/message (msec)</t>
  </si>
  <si>
    <t>Ethernet</t>
  </si>
  <si>
    <t>Serial</t>
  </si>
  <si>
    <t>to be considered</t>
  </si>
  <si>
    <t>less than 1000 BIN</t>
  </si>
  <si>
    <t>greater than 1000BIN</t>
  </si>
  <si>
    <t>Total overhead of bool values</t>
  </si>
  <si>
    <t>Baud Rate(Serial)</t>
  </si>
  <si>
    <t>FDSI sizing guideline for Modbus Master driver</t>
  </si>
  <si>
    <t>GroupID</t>
  </si>
  <si>
    <t>Baudrate:</t>
  </si>
  <si>
    <t>TYPE</t>
  </si>
  <si>
    <t>PNT_NO*</t>
  </si>
  <si>
    <t>Period*</t>
  </si>
  <si>
    <t>Phase*</t>
  </si>
  <si>
    <t>*=required fields</t>
  </si>
  <si>
    <t>40001</t>
  </si>
  <si>
    <t>DEV1_COMP1</t>
  </si>
  <si>
    <t xml:space="preserve">30001  </t>
  </si>
  <si>
    <t xml:space="preserve">30002         </t>
  </si>
  <si>
    <t xml:space="preserve">30003         </t>
  </si>
  <si>
    <t xml:space="preserve">30004         </t>
  </si>
  <si>
    <t xml:space="preserve">30005         </t>
  </si>
  <si>
    <t xml:space="preserve">30006         </t>
  </si>
  <si>
    <t xml:space="preserve">30007         </t>
  </si>
  <si>
    <t xml:space="preserve">30008         </t>
  </si>
  <si>
    <t xml:space="preserve">30009         </t>
  </si>
  <si>
    <t xml:space="preserve">30010         </t>
  </si>
  <si>
    <t xml:space="preserve">30011         </t>
  </si>
  <si>
    <t xml:space="preserve">30012         </t>
  </si>
  <si>
    <t xml:space="preserve">30013         </t>
  </si>
  <si>
    <t xml:space="preserve">30014         </t>
  </si>
  <si>
    <t xml:space="preserve">30015         </t>
  </si>
  <si>
    <t xml:space="preserve">30016         </t>
  </si>
  <si>
    <t xml:space="preserve">30017         </t>
  </si>
  <si>
    <t xml:space="preserve">30018         </t>
  </si>
  <si>
    <t xml:space="preserve">30019         </t>
  </si>
  <si>
    <t xml:space="preserve">30020         </t>
  </si>
  <si>
    <t xml:space="preserve">30021         </t>
  </si>
  <si>
    <t xml:space="preserve">30022         </t>
  </si>
  <si>
    <t xml:space="preserve">30023         </t>
  </si>
  <si>
    <t xml:space="preserve">30024         </t>
  </si>
  <si>
    <t xml:space="preserve">30025         </t>
  </si>
  <si>
    <t xml:space="preserve">30026         </t>
  </si>
  <si>
    <t xml:space="preserve">30027         </t>
  </si>
  <si>
    <t xml:space="preserve">30028         </t>
  </si>
  <si>
    <t xml:space="preserve">30029         </t>
  </si>
  <si>
    <t xml:space="preserve">30030         </t>
  </si>
  <si>
    <t xml:space="preserve">30031         </t>
  </si>
  <si>
    <t xml:space="preserve">30032         </t>
  </si>
  <si>
    <t xml:space="preserve">30033         </t>
  </si>
  <si>
    <t xml:space="preserve">30034         </t>
  </si>
  <si>
    <t xml:space="preserve">30035         </t>
  </si>
  <si>
    <t xml:space="preserve">30036         </t>
  </si>
  <si>
    <t xml:space="preserve">30037         </t>
  </si>
  <si>
    <t xml:space="preserve">30038         </t>
  </si>
  <si>
    <t xml:space="preserve">30039         </t>
  </si>
  <si>
    <t xml:space="preserve">30040         </t>
  </si>
  <si>
    <t xml:space="preserve">30041         </t>
  </si>
  <si>
    <t xml:space="preserve">30042         </t>
  </si>
  <si>
    <t xml:space="preserve">30043         </t>
  </si>
  <si>
    <t xml:space="preserve">30044         </t>
  </si>
  <si>
    <t xml:space="preserve">30045         </t>
  </si>
  <si>
    <t xml:space="preserve">30046         </t>
  </si>
  <si>
    <t xml:space="preserve">30047         </t>
  </si>
  <si>
    <t xml:space="preserve">30048         </t>
  </si>
  <si>
    <t xml:space="preserve">30049         </t>
  </si>
  <si>
    <t xml:space="preserve">30050         </t>
  </si>
  <si>
    <t xml:space="preserve"> DEV1_COMP1:IIN1</t>
  </si>
  <si>
    <t>DEV1_COMP1:IIN2</t>
  </si>
  <si>
    <t xml:space="preserve"> DEV1_COMP1:IIN3</t>
  </si>
  <si>
    <t xml:space="preserve"> DEV1_COMP1:IIN4</t>
  </si>
  <si>
    <t xml:space="preserve"> DEV1_COMP1:IIN5</t>
  </si>
  <si>
    <t xml:space="preserve"> DEV1_COMP1:IIN6</t>
  </si>
  <si>
    <t xml:space="preserve"> DEV1_COMP1:IIN7</t>
  </si>
  <si>
    <t xml:space="preserve"> DEV1_COMP1:IIN8</t>
  </si>
  <si>
    <t xml:space="preserve"> DEV1_COMP1:IIN9</t>
  </si>
  <si>
    <t xml:space="preserve"> DEV1_COMP1:IIN10</t>
  </si>
  <si>
    <t xml:space="preserve"> DEV1_COMP1:IIN11</t>
  </si>
  <si>
    <t xml:space="preserve"> DEV1_COMP1:IIN12</t>
  </si>
  <si>
    <t xml:space="preserve"> DEV1_COMP1:IIN13</t>
  </si>
  <si>
    <t xml:space="preserve"> DEV1_COMP1:IIN14</t>
  </si>
  <si>
    <t xml:space="preserve"> DEV1_COMP1:IIN15</t>
  </si>
  <si>
    <t xml:space="preserve"> DEV1_COMP1:IIN16</t>
  </si>
  <si>
    <t xml:space="preserve"> DEV1_COMP1:IIN17</t>
  </si>
  <si>
    <t xml:space="preserve"> DEV1_COMP1:IIN18</t>
  </si>
  <si>
    <t xml:space="preserve"> DEV1_COMP1:IIN19</t>
  </si>
  <si>
    <t xml:space="preserve"> DEV1_COMP1:IIN20</t>
  </si>
  <si>
    <t xml:space="preserve"> DEV1_COMP1:IIN21</t>
  </si>
  <si>
    <t xml:space="preserve"> DEV1_COMP1:IIN22</t>
  </si>
  <si>
    <t xml:space="preserve"> DEV1_COMP1:IIN23</t>
  </si>
  <si>
    <t xml:space="preserve"> DEV1_COMP1:IIN24</t>
  </si>
  <si>
    <t xml:space="preserve"> DEV1_COMP1:IIN25</t>
  </si>
  <si>
    <t xml:space="preserve"> DEV1_COMP1:IIN26</t>
  </si>
  <si>
    <t xml:space="preserve"> DEV1_COMP1:IIN27</t>
  </si>
  <si>
    <t xml:space="preserve"> DEV1_COMP1:IIN28</t>
  </si>
  <si>
    <t xml:space="preserve"> DEV1_COMP1:IIN29</t>
  </si>
  <si>
    <t xml:space="preserve"> DEV1_COMP1:IIN30</t>
  </si>
  <si>
    <t xml:space="preserve"> DEV1_COMP1:IIN31</t>
  </si>
  <si>
    <t xml:space="preserve"> DEV1_COMP1:IIN32</t>
  </si>
  <si>
    <t xml:space="preserve"> DEV1_COMP1:IIN33</t>
  </si>
  <si>
    <t xml:space="preserve"> DEV1_COMP1:IIN34</t>
  </si>
  <si>
    <t xml:space="preserve"> DEV1_COMP1:IIN35</t>
  </si>
  <si>
    <t xml:space="preserve"> DEV1_COMP1:IIN36</t>
  </si>
  <si>
    <t xml:space="preserve"> DEV1_COMP1:IIN37</t>
  </si>
  <si>
    <t xml:space="preserve"> DEV1_COMP1:IIN38</t>
  </si>
  <si>
    <t xml:space="preserve"> DEV1_COMP1:IIN39</t>
  </si>
  <si>
    <t xml:space="preserve"> DEV1_COMP1:IIN40</t>
  </si>
  <si>
    <t xml:space="preserve"> DEV1_COMP1:IIN41</t>
  </si>
  <si>
    <t xml:space="preserve"> DEV1_COMP1:IIN42</t>
  </si>
  <si>
    <t xml:space="preserve"> DEV1_COMP1:IIN43</t>
  </si>
  <si>
    <t xml:space="preserve"> DEV1_COMP1:IIN44</t>
  </si>
  <si>
    <t xml:space="preserve"> DEV1_COMP1:IIN45</t>
  </si>
  <si>
    <t xml:space="preserve"> DEV1_COMP1:IIN46</t>
  </si>
  <si>
    <t xml:space="preserve"> DEV1_COMP1:IIN47</t>
  </si>
  <si>
    <t xml:space="preserve"> DEV1_COMP1:IIN48</t>
  </si>
  <si>
    <t xml:space="preserve"> DEV1_COMP1:IIN49</t>
  </si>
  <si>
    <t xml:space="preserve"> DEV1_COMP1:IIN50</t>
  </si>
  <si>
    <t>300001</t>
  </si>
  <si>
    <t>300002</t>
  </si>
  <si>
    <t>300003</t>
  </si>
  <si>
    <t>300004</t>
  </si>
  <si>
    <t>300005</t>
  </si>
  <si>
    <t>300006</t>
  </si>
  <si>
    <t>300007</t>
  </si>
  <si>
    <t>300008</t>
  </si>
  <si>
    <t>300009</t>
  </si>
  <si>
    <t>300010</t>
  </si>
  <si>
    <t>300011</t>
  </si>
  <si>
    <t>300012</t>
  </si>
  <si>
    <t>300013</t>
  </si>
  <si>
    <t>300014</t>
  </si>
  <si>
    <t>300015</t>
  </si>
  <si>
    <t>300016</t>
  </si>
  <si>
    <t>300017</t>
  </si>
  <si>
    <t>300018</t>
  </si>
  <si>
    <t>300019</t>
  </si>
  <si>
    <t>300020</t>
  </si>
  <si>
    <t>300021</t>
  </si>
  <si>
    <t>300022</t>
  </si>
  <si>
    <t>300023</t>
  </si>
  <si>
    <t>300024</t>
  </si>
  <si>
    <t>300025</t>
  </si>
  <si>
    <t>300026</t>
  </si>
  <si>
    <t>300027</t>
  </si>
  <si>
    <t>300028</t>
  </si>
  <si>
    <t>300029</t>
  </si>
  <si>
    <t>300030</t>
  </si>
  <si>
    <t>300031</t>
  </si>
  <si>
    <t>300032</t>
  </si>
  <si>
    <t>300033</t>
  </si>
  <si>
    <t>300034</t>
  </si>
  <si>
    <t>300035</t>
  </si>
  <si>
    <t>300036</t>
  </si>
  <si>
    <t>300037</t>
  </si>
  <si>
    <t>300038</t>
  </si>
  <si>
    <t>300039</t>
  </si>
  <si>
    <t>300040</t>
  </si>
  <si>
    <t>300041</t>
  </si>
  <si>
    <t>300042</t>
  </si>
  <si>
    <t>300043</t>
  </si>
  <si>
    <t>300044</t>
  </si>
  <si>
    <t>300045</t>
  </si>
  <si>
    <t>300046</t>
  </si>
  <si>
    <t>300047</t>
  </si>
  <si>
    <t>300048</t>
  </si>
  <si>
    <t>300049</t>
  </si>
  <si>
    <t>300050</t>
  </si>
  <si>
    <t>400001</t>
  </si>
  <si>
    <t>NAME</t>
  </si>
</sst>
</file>

<file path=xl/styles.xml><?xml version="1.0" encoding="utf-8"?>
<styleSheet xmlns="http://schemas.openxmlformats.org/spreadsheetml/2006/main">
  <numFmts count="1">
    <numFmt numFmtId="164" formatCode="0.0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0" fontId="3" fillId="0" borderId="0" xfId="0" applyFont="1"/>
    <xf numFmtId="164" fontId="3" fillId="0" borderId="0" xfId="0" applyNumberFormat="1" applyFont="1"/>
    <xf numFmtId="0" fontId="3" fillId="0" borderId="0" xfId="0" applyNumberFormat="1" applyFont="1"/>
    <xf numFmtId="0" fontId="2" fillId="0" borderId="0" xfId="0" applyFont="1" applyAlignment="1">
      <alignment horizontal="right"/>
    </xf>
    <xf numFmtId="0" fontId="0" fillId="2" borderId="3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0" fontId="0" fillId="2" borderId="0" xfId="0" applyFont="1" applyFill="1" applyBorder="1"/>
    <xf numFmtId="0" fontId="5" fillId="2" borderId="2" xfId="0" applyFont="1" applyFill="1" applyBorder="1"/>
    <xf numFmtId="0" fontId="0" fillId="3" borderId="0" xfId="0" applyFill="1"/>
    <xf numFmtId="0" fontId="0" fillId="3" borderId="0" xfId="0" applyFill="1" applyBorder="1"/>
    <xf numFmtId="0" fontId="4" fillId="3" borderId="0" xfId="0" applyFont="1" applyFill="1"/>
    <xf numFmtId="164" fontId="0" fillId="4" borderId="9" xfId="0" applyNumberFormat="1" applyFill="1" applyBorder="1"/>
    <xf numFmtId="0" fontId="0" fillId="4" borderId="9" xfId="0" applyFill="1" applyBorder="1"/>
    <xf numFmtId="0" fontId="6" fillId="2" borderId="0" xfId="0" applyFont="1" applyFill="1" applyBorder="1"/>
    <xf numFmtId="0" fontId="0" fillId="3" borderId="0" xfId="0" applyFill="1" applyAlignment="1">
      <alignment vertical="top"/>
    </xf>
    <xf numFmtId="0" fontId="0" fillId="2" borderId="0" xfId="0" applyFill="1"/>
    <xf numFmtId="0" fontId="0" fillId="2" borderId="0" xfId="0" applyNumberFormat="1" applyFill="1" applyBorder="1"/>
    <xf numFmtId="1" fontId="0" fillId="2" borderId="0" xfId="0" applyNumberFormat="1" applyFill="1" applyBorder="1"/>
    <xf numFmtId="1" fontId="5" fillId="2" borderId="2" xfId="0" applyNumberFormat="1" applyFont="1" applyFill="1" applyBorder="1"/>
    <xf numFmtId="1" fontId="3" fillId="0" borderId="0" xfId="0" applyNumberFormat="1" applyFont="1"/>
    <xf numFmtId="0" fontId="10" fillId="0" borderId="0" xfId="0" applyFont="1"/>
    <xf numFmtId="0" fontId="3" fillId="0" borderId="0" xfId="0" applyFont="1" applyAlignment="1">
      <alignment vertical="top" wrapText="1"/>
    </xf>
    <xf numFmtId="0" fontId="0" fillId="3" borderId="0" xfId="0" applyFill="1" applyAlignment="1">
      <alignment vertical="top" wrapText="1"/>
    </xf>
    <xf numFmtId="0" fontId="1" fillId="3" borderId="0" xfId="0" applyFont="1" applyFill="1" applyAlignment="1">
      <alignment vertical="top"/>
    </xf>
    <xf numFmtId="0" fontId="1" fillId="3" borderId="0" xfId="0" applyFont="1" applyFill="1" applyAlignment="1">
      <alignment vertical="top"/>
    </xf>
    <xf numFmtId="0" fontId="0" fillId="3" borderId="0" xfId="0" applyFill="1" applyAlignment="1">
      <alignment vertical="top" wrapText="1"/>
    </xf>
    <xf numFmtId="0" fontId="1" fillId="0" borderId="0" xfId="0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3" fillId="0" borderId="0" xfId="0" applyFont="1" applyAlignment="1">
      <alignment wrapText="1"/>
    </xf>
    <xf numFmtId="0" fontId="3" fillId="0" borderId="0" xfId="0" applyNumberFormat="1" applyFont="1" applyFill="1" applyProtection="1">
      <protection locked="0"/>
    </xf>
    <xf numFmtId="49" fontId="3" fillId="0" borderId="0" xfId="0" applyNumberFormat="1" applyFont="1" applyFill="1" applyProtection="1">
      <protection locked="0"/>
    </xf>
    <xf numFmtId="49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Fill="1" applyProtection="1">
      <protection locked="0"/>
    </xf>
    <xf numFmtId="1" fontId="0" fillId="2" borderId="6" xfId="0" applyNumberFormat="1" applyFill="1" applyBorder="1"/>
    <xf numFmtId="0" fontId="6" fillId="2" borderId="2" xfId="0" applyFont="1" applyFill="1" applyBorder="1"/>
    <xf numFmtId="0" fontId="0" fillId="2" borderId="0" xfId="0" applyFont="1" applyFill="1" applyBorder="1" applyProtection="1">
      <protection locked="0"/>
    </xf>
    <xf numFmtId="0" fontId="13" fillId="2" borderId="0" xfId="0" applyFont="1" applyFill="1" applyBorder="1" applyAlignment="1" applyProtection="1">
      <alignment horizontal="right" vertical="top"/>
      <protection locked="0"/>
    </xf>
    <xf numFmtId="0" fontId="0" fillId="2" borderId="0" xfId="0" applyFill="1" applyBorder="1" applyProtection="1">
      <protection locked="0"/>
    </xf>
    <xf numFmtId="1" fontId="3" fillId="0" borderId="0" xfId="0" applyNumberFormat="1" applyFont="1" applyAlignment="1" applyProtection="1">
      <alignment wrapText="1"/>
      <protection locked="0"/>
    </xf>
    <xf numFmtId="1" fontId="3" fillId="0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Protection="1">
      <protection locked="0"/>
    </xf>
    <xf numFmtId="0" fontId="0" fillId="3" borderId="0" xfId="0" applyFill="1" applyAlignment="1">
      <alignment vertical="top" wrapText="1"/>
    </xf>
    <xf numFmtId="0" fontId="9" fillId="3" borderId="0" xfId="0" applyFont="1" applyFill="1" applyAlignment="1">
      <alignment vertical="top" wrapText="1"/>
    </xf>
    <xf numFmtId="0" fontId="1" fillId="3" borderId="0" xfId="0" applyFont="1" applyFill="1" applyAlignment="1">
      <alignment vertical="top" wrapText="1"/>
    </xf>
    <xf numFmtId="0" fontId="0" fillId="3" borderId="0" xfId="0" applyFill="1" applyAlignment="1"/>
    <xf numFmtId="0" fontId="0" fillId="3" borderId="0" xfId="0" applyFill="1" applyAlignment="1">
      <alignment wrapText="1"/>
    </xf>
    <xf numFmtId="0" fontId="3" fillId="0" borderId="0" xfId="0" applyFont="1" applyAlignment="1">
      <alignment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K33"/>
  <sheetViews>
    <sheetView tabSelected="1" zoomScaleNormal="100" workbookViewId="0">
      <selection activeCell="D4" sqref="D4"/>
    </sheetView>
  </sheetViews>
  <sheetFormatPr defaultRowHeight="15"/>
  <cols>
    <col min="1" max="1" width="9.140625" style="17"/>
    <col min="2" max="2" width="2.28515625" style="17" customWidth="1"/>
    <col min="3" max="3" width="4.7109375" style="17" customWidth="1"/>
    <col min="4" max="4" width="25.28515625" style="17" bestFit="1" customWidth="1"/>
    <col min="5" max="5" width="9.7109375" style="17" customWidth="1"/>
    <col min="6" max="6" width="12.140625" style="17" customWidth="1"/>
    <col min="7" max="7" width="4.28515625" style="17" customWidth="1"/>
    <col min="8" max="8" width="9.140625" style="17"/>
    <col min="9" max="9" width="4.7109375" style="23" customWidth="1"/>
    <col min="10" max="10" width="4.5703125" style="23" customWidth="1"/>
    <col min="11" max="11" width="63" style="31" customWidth="1"/>
    <col min="12" max="16384" width="9.140625" style="17"/>
  </cols>
  <sheetData>
    <row r="2" spans="2:11" ht="27.75" customHeight="1">
      <c r="B2" s="6"/>
      <c r="C2" s="50" t="s">
        <v>28</v>
      </c>
      <c r="D2" s="7"/>
      <c r="E2" s="7"/>
      <c r="F2" s="7"/>
      <c r="G2" s="8"/>
      <c r="I2" s="60" t="s">
        <v>60</v>
      </c>
      <c r="J2" s="61"/>
      <c r="K2" s="61"/>
    </row>
    <row r="3" spans="2:11" ht="21" customHeight="1">
      <c r="B3" s="9"/>
      <c r="C3" s="51"/>
      <c r="D3" s="51"/>
      <c r="E3" s="52" t="s">
        <v>62</v>
      </c>
      <c r="F3" s="53"/>
      <c r="G3" s="11"/>
      <c r="I3" s="61"/>
      <c r="J3" s="61"/>
      <c r="K3" s="61"/>
    </row>
    <row r="4" spans="2:11">
      <c r="B4" s="9"/>
      <c r="C4" s="10"/>
      <c r="D4" s="10" t="s">
        <v>12</v>
      </c>
      <c r="E4" s="20">
        <v>0.5</v>
      </c>
      <c r="F4" s="10" t="s">
        <v>13</v>
      </c>
      <c r="G4" s="11"/>
      <c r="I4" s="32" t="s">
        <v>32</v>
      </c>
    </row>
    <row r="5" spans="2:11">
      <c r="B5" s="9"/>
      <c r="C5" s="10"/>
      <c r="D5" s="10" t="s">
        <v>15</v>
      </c>
      <c r="E5" s="20">
        <v>1</v>
      </c>
      <c r="F5" s="10" t="s">
        <v>13</v>
      </c>
      <c r="G5" s="11"/>
      <c r="I5" s="32"/>
      <c r="J5" s="23" t="s">
        <v>33</v>
      </c>
      <c r="K5" s="31" t="s">
        <v>37</v>
      </c>
    </row>
    <row r="6" spans="2:11">
      <c r="B6" s="9"/>
      <c r="C6" s="10"/>
      <c r="D6" s="10" t="s">
        <v>48</v>
      </c>
      <c r="E6" s="21">
        <v>0</v>
      </c>
      <c r="F6" s="10" t="s">
        <v>14</v>
      </c>
      <c r="G6" s="11"/>
      <c r="I6" s="32"/>
    </row>
    <row r="7" spans="2:11">
      <c r="B7" s="9"/>
      <c r="C7" s="10"/>
      <c r="D7" s="10" t="s">
        <v>47</v>
      </c>
      <c r="E7" s="21">
        <v>100</v>
      </c>
      <c r="F7" s="10" t="s">
        <v>41</v>
      </c>
      <c r="G7" s="11"/>
      <c r="I7" s="33"/>
      <c r="K7" s="34"/>
    </row>
    <row r="8" spans="2:11">
      <c r="B8" s="12"/>
      <c r="C8" s="13"/>
      <c r="D8" s="13"/>
      <c r="E8" s="13"/>
      <c r="F8" s="13"/>
      <c r="G8" s="14"/>
      <c r="J8" s="23" t="s">
        <v>34</v>
      </c>
      <c r="K8" s="59" t="s">
        <v>49</v>
      </c>
    </row>
    <row r="9" spans="2:11">
      <c r="K9" s="59"/>
    </row>
    <row r="10" spans="2:11">
      <c r="B10" s="6"/>
      <c r="C10" s="7"/>
      <c r="D10" s="7"/>
      <c r="E10" s="7"/>
      <c r="F10" s="7"/>
      <c r="G10" s="8"/>
      <c r="K10" s="59"/>
    </row>
    <row r="11" spans="2:11" ht="18.75">
      <c r="B11" s="9"/>
      <c r="C11" s="22" t="s">
        <v>16</v>
      </c>
      <c r="D11" s="10"/>
      <c r="E11" s="10"/>
      <c r="F11" s="10"/>
      <c r="G11" s="11"/>
    </row>
    <row r="12" spans="2:11">
      <c r="B12" s="9"/>
      <c r="C12" s="10"/>
      <c r="D12" s="10" t="s">
        <v>0</v>
      </c>
      <c r="E12" s="10">
        <f>COUNTIF(Inputs!G:G,D12)</f>
        <v>0</v>
      </c>
      <c r="F12" s="10"/>
      <c r="G12" s="11"/>
      <c r="J12" s="23" t="s">
        <v>35</v>
      </c>
      <c r="K12" s="59" t="s">
        <v>50</v>
      </c>
    </row>
    <row r="13" spans="2:11">
      <c r="B13" s="9"/>
      <c r="C13" s="10"/>
      <c r="D13" s="10" t="s">
        <v>1</v>
      </c>
      <c r="E13" s="10">
        <f>COUNTIF(Inputs!G:G,D13)</f>
        <v>50</v>
      </c>
      <c r="F13" s="10"/>
      <c r="G13" s="11"/>
      <c r="K13" s="59"/>
    </row>
    <row r="14" spans="2:11">
      <c r="B14" s="9"/>
      <c r="C14" s="10"/>
      <c r="D14" s="10" t="s">
        <v>3</v>
      </c>
      <c r="E14" s="10">
        <f>COUNTIF(Inputs!G:G,D14)</f>
        <v>0</v>
      </c>
      <c r="F14" s="10"/>
      <c r="G14" s="11"/>
      <c r="K14" s="59"/>
    </row>
    <row r="15" spans="2:11">
      <c r="B15" s="9"/>
      <c r="C15" s="10"/>
      <c r="D15" s="10" t="s">
        <v>2</v>
      </c>
      <c r="E15" s="10">
        <f>COUNTIF(Inputs!G:G,D15)</f>
        <v>0</v>
      </c>
      <c r="F15" s="10"/>
      <c r="G15" s="11"/>
      <c r="K15" s="59"/>
    </row>
    <row r="16" spans="2:11">
      <c r="B16" s="9"/>
      <c r="C16" s="10"/>
      <c r="D16" s="7" t="s">
        <v>30</v>
      </c>
      <c r="E16" s="7">
        <f>COUNTA(Inputs!H:H)-1</f>
        <v>50</v>
      </c>
      <c r="F16" s="10"/>
      <c r="G16" s="11"/>
      <c r="K16" s="59"/>
    </row>
    <row r="17" spans="2:11">
      <c r="B17" s="9"/>
      <c r="C17" s="10"/>
      <c r="D17" s="10"/>
      <c r="E17" s="10"/>
      <c r="F17" s="10"/>
      <c r="G17" s="11"/>
      <c r="J17" s="23" t="s">
        <v>36</v>
      </c>
      <c r="K17" s="59" t="s">
        <v>51</v>
      </c>
    </row>
    <row r="18" spans="2:11" ht="18.75">
      <c r="B18" s="9"/>
      <c r="C18" s="22" t="s">
        <v>17</v>
      </c>
      <c r="D18" s="10"/>
      <c r="E18" s="10"/>
      <c r="F18" s="10"/>
      <c r="G18" s="11"/>
      <c r="K18" s="62"/>
    </row>
    <row r="19" spans="2:11">
      <c r="B19" s="9"/>
      <c r="C19" s="10"/>
      <c r="D19" s="10" t="s">
        <v>4</v>
      </c>
      <c r="E19" s="10">
        <f>COUNTIF(Outputs!G:G,D19)</f>
        <v>0</v>
      </c>
      <c r="F19" s="10"/>
      <c r="G19" s="11"/>
      <c r="K19" s="62"/>
    </row>
    <row r="20" spans="2:11">
      <c r="B20" s="9"/>
      <c r="C20" s="10"/>
      <c r="D20" s="10" t="s">
        <v>5</v>
      </c>
      <c r="E20" s="10">
        <f>COUNTIF(Outputs!G:G,D20)</f>
        <v>1</v>
      </c>
      <c r="F20" s="10"/>
      <c r="G20" s="11"/>
      <c r="K20" s="62"/>
    </row>
    <row r="21" spans="2:11">
      <c r="B21" s="9"/>
      <c r="C21" s="10"/>
      <c r="D21" s="10" t="s">
        <v>7</v>
      </c>
      <c r="E21" s="10">
        <f>COUNTIF(Outputs!G:G,D21)</f>
        <v>0</v>
      </c>
      <c r="F21" s="10"/>
      <c r="G21" s="11"/>
      <c r="K21" s="62"/>
    </row>
    <row r="22" spans="2:11">
      <c r="B22" s="9"/>
      <c r="C22" s="10"/>
      <c r="D22" s="10" t="s">
        <v>6</v>
      </c>
      <c r="E22" s="10">
        <f>COUNTIF(Outputs!G:G,D22)</f>
        <v>0</v>
      </c>
      <c r="F22" s="10"/>
      <c r="G22" s="11"/>
      <c r="K22" s="62"/>
    </row>
    <row r="23" spans="2:11">
      <c r="B23" s="9"/>
      <c r="C23" s="10"/>
      <c r="D23" s="7" t="s">
        <v>31</v>
      </c>
      <c r="E23" s="7">
        <f>COUNTA(Outputs!H:H)-1</f>
        <v>1</v>
      </c>
      <c r="F23" s="10"/>
      <c r="G23" s="11"/>
      <c r="K23" s="62"/>
    </row>
    <row r="24" spans="2:11">
      <c r="B24" s="12"/>
      <c r="C24" s="13"/>
      <c r="D24" s="13"/>
      <c r="E24" s="13"/>
      <c r="F24" s="13"/>
      <c r="G24" s="14"/>
      <c r="J24" s="23" t="s">
        <v>38</v>
      </c>
      <c r="K24" s="63" t="s">
        <v>39</v>
      </c>
    </row>
    <row r="25" spans="2:11">
      <c r="B25" s="18"/>
      <c r="C25" s="18"/>
      <c r="D25" s="18"/>
      <c r="E25" s="18"/>
      <c r="F25" s="18"/>
      <c r="G25" s="18"/>
      <c r="K25" s="63"/>
    </row>
    <row r="26" spans="2:11">
      <c r="B26" s="6"/>
      <c r="C26" s="7"/>
      <c r="D26" s="7"/>
      <c r="E26" s="7"/>
      <c r="F26" s="7"/>
      <c r="G26" s="8"/>
      <c r="K26" s="63"/>
    </row>
    <row r="27" spans="2:11" ht="18.75">
      <c r="B27" s="9"/>
      <c r="C27" s="22" t="s">
        <v>29</v>
      </c>
      <c r="D27" s="10"/>
      <c r="E27" s="10"/>
      <c r="F27" s="10"/>
      <c r="G27" s="11"/>
    </row>
    <row r="28" spans="2:11">
      <c r="B28" s="9"/>
      <c r="C28" s="10"/>
      <c r="D28" s="15" t="s">
        <v>11</v>
      </c>
      <c r="E28" s="26">
        <f ca="1">(((COUNTIF(Inputs!D:D,"NEW")+COUNTIF(Outputs!D:D,"NEW"))*(E6+Reference!$C$4))+Reference!$C$8) / (E5*1000) *100</f>
        <v>16.8</v>
      </c>
      <c r="F28" s="10" t="s">
        <v>41</v>
      </c>
      <c r="G28" s="11"/>
      <c r="J28" s="23" t="s">
        <v>40</v>
      </c>
      <c r="K28" s="59" t="str">
        <f>"View resulting loading percentages (on this sheet).  The total loading should not exceed "&amp;Reference!A11&amp;"%."</f>
        <v>View resulting loading percentages (on this sheet).  The total loading should not exceed 85%.</v>
      </c>
    </row>
    <row r="29" spans="2:11">
      <c r="B29" s="9"/>
      <c r="C29" s="10"/>
      <c r="D29" s="15" t="s">
        <v>18</v>
      </c>
      <c r="E29" s="26">
        <f>(MAX(Reference!F47:Y47)*(E6+Reference!$C$4)*(E7/100)) / (E5*1000)*100</f>
        <v>16.8</v>
      </c>
      <c r="F29" s="10" t="s">
        <v>41</v>
      </c>
      <c r="G29" s="49"/>
      <c r="K29" s="59"/>
    </row>
    <row r="30" spans="2:11" ht="18.75">
      <c r="B30" s="9"/>
      <c r="C30" s="10"/>
      <c r="D30" s="16" t="s">
        <v>19</v>
      </c>
      <c r="E30" s="27">
        <f ca="1">E28+E29</f>
        <v>33.6</v>
      </c>
      <c r="F30" s="10" t="s">
        <v>41</v>
      </c>
      <c r="G30" s="11"/>
      <c r="H30" s="19"/>
    </row>
    <row r="31" spans="2:11">
      <c r="B31" s="9"/>
      <c r="C31" s="10"/>
      <c r="D31" s="10"/>
      <c r="E31" s="10"/>
      <c r="F31" s="10"/>
      <c r="G31" s="11"/>
    </row>
    <row r="32" spans="2:11">
      <c r="B32" s="9"/>
      <c r="C32" s="10" t="s">
        <v>43</v>
      </c>
      <c r="D32" s="24"/>
      <c r="E32" s="25">
        <f ca="1">ROUNDUP(E30/Reference!A11,0)</f>
        <v>1</v>
      </c>
      <c r="F32" s="10"/>
      <c r="G32" s="11"/>
    </row>
    <row r="33" spans="2:7">
      <c r="B33" s="12"/>
      <c r="C33" s="13"/>
      <c r="D33" s="13"/>
      <c r="E33" s="13"/>
      <c r="F33" s="13"/>
      <c r="G33" s="14"/>
    </row>
  </sheetData>
  <sheetProtection password="CA1B" sheet="1" objects="1" scenarios="1"/>
  <protectedRanges>
    <protectedRange sqref="E4:E7" name="Range1" securityDescriptor="O:WDG:WDD:(A;;CC;;;WD)"/>
  </protectedRanges>
  <mergeCells count="6">
    <mergeCell ref="K28:K29"/>
    <mergeCell ref="I2:K3"/>
    <mergeCell ref="K8:K10"/>
    <mergeCell ref="K12:K16"/>
    <mergeCell ref="K17:K23"/>
    <mergeCell ref="K24:K26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52"/>
  <sheetViews>
    <sheetView zoomScaleNormal="100" workbookViewId="0">
      <selection activeCell="A2" sqref="A2:I52"/>
    </sheetView>
  </sheetViews>
  <sheetFormatPr defaultColWidth="9.140625" defaultRowHeight="15"/>
  <cols>
    <col min="1" max="1" width="36.5703125" style="39" customWidth="1"/>
    <col min="2" max="2" width="14.42578125" style="45" hidden="1" customWidth="1"/>
    <col min="3" max="3" width="9" style="44" hidden="1" customWidth="1"/>
    <col min="4" max="4" width="10.140625" style="44" hidden="1" customWidth="1"/>
    <col min="5" max="6" width="7.140625" style="44" hidden="1" customWidth="1"/>
    <col min="7" max="7" width="9.5703125" style="39" customWidth="1"/>
    <col min="8" max="8" width="13.85546875" style="37" customWidth="1"/>
    <col min="9" max="9" width="17.28515625" style="48" bestFit="1" customWidth="1"/>
    <col min="10" max="10" width="11.28515625" style="39" customWidth="1"/>
    <col min="11" max="11" width="17.28515625" style="39" bestFit="1" customWidth="1"/>
    <col min="12" max="106" width="10.7109375" style="39"/>
    <col min="107" max="16384" width="9.140625" style="39"/>
  </cols>
  <sheetData>
    <row r="1" spans="1:9" s="35" customFormat="1" ht="27" customHeight="1">
      <c r="A1" s="35" t="s">
        <v>221</v>
      </c>
      <c r="C1" s="35" t="s">
        <v>61</v>
      </c>
      <c r="G1" s="35" t="s">
        <v>63</v>
      </c>
      <c r="H1" s="35" t="s">
        <v>64</v>
      </c>
      <c r="I1" s="41" t="s">
        <v>67</v>
      </c>
    </row>
    <row r="2" spans="1:9" s="35" customFormat="1">
      <c r="A2" s="39" t="s">
        <v>120</v>
      </c>
      <c r="B2" s="45" t="s">
        <v>170</v>
      </c>
      <c r="C2" s="44">
        <v>768</v>
      </c>
      <c r="D2" s="44" t="str">
        <f t="shared" ref="D2:D33" ca="1" si="0">IF(C2&lt;&gt;OFFSET(C2,-1,0),IF(OR(E2=0,E2=1),"NEWBOOL","NEW"),".")</f>
        <v>NEW</v>
      </c>
      <c r="E2" s="44">
        <v>-1</v>
      </c>
      <c r="F2" s="44">
        <v>0</v>
      </c>
      <c r="G2" s="39" t="s">
        <v>1</v>
      </c>
      <c r="H2" s="37" t="s">
        <v>70</v>
      </c>
      <c r="I2" s="48"/>
    </row>
    <row r="3" spans="1:9">
      <c r="A3" s="39" t="s">
        <v>121</v>
      </c>
      <c r="B3" s="45" t="s">
        <v>171</v>
      </c>
      <c r="C3" s="44">
        <v>768</v>
      </c>
      <c r="D3" s="44" t="str">
        <f t="shared" ca="1" si="0"/>
        <v>.</v>
      </c>
      <c r="E3" s="44">
        <v>-1</v>
      </c>
      <c r="F3" s="44">
        <v>0</v>
      </c>
      <c r="G3" s="39" t="s">
        <v>1</v>
      </c>
      <c r="H3" s="37" t="s">
        <v>71</v>
      </c>
    </row>
    <row r="4" spans="1:9">
      <c r="A4" s="39" t="s">
        <v>122</v>
      </c>
      <c r="B4" s="45" t="s">
        <v>172</v>
      </c>
      <c r="C4" s="44">
        <v>768</v>
      </c>
      <c r="D4" s="44" t="str">
        <f t="shared" ca="1" si="0"/>
        <v>.</v>
      </c>
      <c r="E4" s="44">
        <v>-1</v>
      </c>
      <c r="F4" s="44">
        <v>0</v>
      </c>
      <c r="G4" s="39" t="s">
        <v>1</v>
      </c>
      <c r="H4" s="37" t="s">
        <v>72</v>
      </c>
    </row>
    <row r="5" spans="1:9">
      <c r="A5" s="39" t="s">
        <v>123</v>
      </c>
      <c r="B5" s="45" t="s">
        <v>173</v>
      </c>
      <c r="C5" s="44">
        <v>768</v>
      </c>
      <c r="D5" s="44" t="str">
        <f t="shared" ca="1" si="0"/>
        <v>.</v>
      </c>
      <c r="E5" s="44">
        <v>-1</v>
      </c>
      <c r="F5" s="44">
        <v>0</v>
      </c>
      <c r="G5" s="39" t="s">
        <v>1</v>
      </c>
      <c r="H5" s="37" t="s">
        <v>73</v>
      </c>
    </row>
    <row r="6" spans="1:9">
      <c r="A6" s="39" t="s">
        <v>124</v>
      </c>
      <c r="B6" s="45" t="s">
        <v>174</v>
      </c>
      <c r="C6" s="44">
        <v>768</v>
      </c>
      <c r="D6" s="44" t="str">
        <f t="shared" ca="1" si="0"/>
        <v>.</v>
      </c>
      <c r="E6" s="44">
        <v>-1</v>
      </c>
      <c r="F6" s="44">
        <v>0</v>
      </c>
      <c r="G6" s="39" t="s">
        <v>1</v>
      </c>
      <c r="H6" s="37" t="s">
        <v>74</v>
      </c>
    </row>
    <row r="7" spans="1:9">
      <c r="A7" s="39" t="s">
        <v>125</v>
      </c>
      <c r="B7" s="45" t="s">
        <v>175</v>
      </c>
      <c r="C7" s="44">
        <v>768</v>
      </c>
      <c r="D7" s="44" t="str">
        <f t="shared" ca="1" si="0"/>
        <v>.</v>
      </c>
      <c r="E7" s="44">
        <v>-1</v>
      </c>
      <c r="F7" s="44">
        <v>0</v>
      </c>
      <c r="G7" s="39" t="s">
        <v>1</v>
      </c>
      <c r="H7" s="37" t="s">
        <v>75</v>
      </c>
    </row>
    <row r="8" spans="1:9">
      <c r="A8" s="39" t="s">
        <v>126</v>
      </c>
      <c r="B8" s="45" t="s">
        <v>176</v>
      </c>
      <c r="C8" s="44">
        <v>768</v>
      </c>
      <c r="D8" s="44" t="str">
        <f t="shared" ca="1" si="0"/>
        <v>.</v>
      </c>
      <c r="E8" s="44">
        <v>-1</v>
      </c>
      <c r="F8" s="44">
        <v>0</v>
      </c>
      <c r="G8" s="39" t="s">
        <v>1</v>
      </c>
      <c r="H8" s="37" t="s">
        <v>76</v>
      </c>
    </row>
    <row r="9" spans="1:9">
      <c r="A9" s="39" t="s">
        <v>127</v>
      </c>
      <c r="B9" s="45" t="s">
        <v>177</v>
      </c>
      <c r="C9" s="44">
        <v>768</v>
      </c>
      <c r="D9" s="44" t="str">
        <f t="shared" ca="1" si="0"/>
        <v>.</v>
      </c>
      <c r="E9" s="44">
        <v>-1</v>
      </c>
      <c r="F9" s="44">
        <v>0</v>
      </c>
      <c r="G9" s="39" t="s">
        <v>1</v>
      </c>
      <c r="H9" s="37" t="s">
        <v>77</v>
      </c>
    </row>
    <row r="10" spans="1:9">
      <c r="A10" s="39" t="s">
        <v>128</v>
      </c>
      <c r="B10" s="45" t="s">
        <v>178</v>
      </c>
      <c r="C10" s="44">
        <v>768</v>
      </c>
      <c r="D10" s="44" t="str">
        <f t="shared" ca="1" si="0"/>
        <v>.</v>
      </c>
      <c r="E10" s="44">
        <v>-1</v>
      </c>
      <c r="F10" s="44">
        <v>0</v>
      </c>
      <c r="G10" s="39" t="s">
        <v>1</v>
      </c>
      <c r="H10" s="37" t="s">
        <v>78</v>
      </c>
    </row>
    <row r="11" spans="1:9">
      <c r="A11" s="39" t="s">
        <v>129</v>
      </c>
      <c r="B11" s="45" t="s">
        <v>179</v>
      </c>
      <c r="C11" s="44">
        <v>768</v>
      </c>
      <c r="D11" s="44" t="str">
        <f t="shared" ca="1" si="0"/>
        <v>.</v>
      </c>
      <c r="E11" s="44">
        <v>-1</v>
      </c>
      <c r="F11" s="44">
        <v>0</v>
      </c>
      <c r="G11" s="39" t="s">
        <v>1</v>
      </c>
      <c r="H11" s="37" t="s">
        <v>79</v>
      </c>
    </row>
    <row r="12" spans="1:9">
      <c r="A12" s="39" t="s">
        <v>130</v>
      </c>
      <c r="B12" s="45" t="s">
        <v>180</v>
      </c>
      <c r="C12" s="44">
        <v>768</v>
      </c>
      <c r="D12" s="44" t="str">
        <f t="shared" ca="1" si="0"/>
        <v>.</v>
      </c>
      <c r="E12" s="44">
        <v>-1</v>
      </c>
      <c r="F12" s="44">
        <v>0</v>
      </c>
      <c r="G12" s="39" t="s">
        <v>1</v>
      </c>
      <c r="H12" s="37" t="s">
        <v>80</v>
      </c>
    </row>
    <row r="13" spans="1:9">
      <c r="A13" s="39" t="s">
        <v>131</v>
      </c>
      <c r="B13" s="45" t="s">
        <v>181</v>
      </c>
      <c r="C13" s="44">
        <v>768</v>
      </c>
      <c r="D13" s="44" t="str">
        <f t="shared" ca="1" si="0"/>
        <v>.</v>
      </c>
      <c r="E13" s="44">
        <v>-1</v>
      </c>
      <c r="F13" s="44">
        <v>0</v>
      </c>
      <c r="G13" s="39" t="s">
        <v>1</v>
      </c>
      <c r="H13" s="37" t="s">
        <v>81</v>
      </c>
    </row>
    <row r="14" spans="1:9">
      <c r="A14" s="39" t="s">
        <v>132</v>
      </c>
      <c r="B14" s="45" t="s">
        <v>182</v>
      </c>
      <c r="C14" s="44">
        <v>768</v>
      </c>
      <c r="D14" s="44" t="str">
        <f t="shared" ca="1" si="0"/>
        <v>.</v>
      </c>
      <c r="E14" s="44">
        <v>-1</v>
      </c>
      <c r="F14" s="44">
        <v>0</v>
      </c>
      <c r="G14" s="39" t="s">
        <v>1</v>
      </c>
      <c r="H14" s="37" t="s">
        <v>82</v>
      </c>
    </row>
    <row r="15" spans="1:9">
      <c r="A15" s="39" t="s">
        <v>133</v>
      </c>
      <c r="B15" s="45" t="s">
        <v>183</v>
      </c>
      <c r="C15" s="44">
        <v>768</v>
      </c>
      <c r="D15" s="44" t="str">
        <f t="shared" ca="1" si="0"/>
        <v>.</v>
      </c>
      <c r="E15" s="44">
        <v>-1</v>
      </c>
      <c r="F15" s="44">
        <v>0</v>
      </c>
      <c r="G15" s="39" t="s">
        <v>1</v>
      </c>
      <c r="H15" s="37" t="s">
        <v>83</v>
      </c>
    </row>
    <row r="16" spans="1:9">
      <c r="A16" s="39" t="s">
        <v>134</v>
      </c>
      <c r="B16" s="45" t="s">
        <v>184</v>
      </c>
      <c r="C16" s="44">
        <v>768</v>
      </c>
      <c r="D16" s="44" t="str">
        <f t="shared" ca="1" si="0"/>
        <v>.</v>
      </c>
      <c r="E16" s="44">
        <v>-1</v>
      </c>
      <c r="F16" s="44">
        <v>0</v>
      </c>
      <c r="G16" s="39" t="s">
        <v>1</v>
      </c>
      <c r="H16" s="37" t="s">
        <v>84</v>
      </c>
    </row>
    <row r="17" spans="1:8">
      <c r="A17" s="39" t="s">
        <v>135</v>
      </c>
      <c r="B17" s="45" t="s">
        <v>185</v>
      </c>
      <c r="C17" s="44">
        <v>768</v>
      </c>
      <c r="D17" s="44" t="str">
        <f t="shared" ca="1" si="0"/>
        <v>.</v>
      </c>
      <c r="E17" s="44">
        <v>-1</v>
      </c>
      <c r="F17" s="44">
        <v>0</v>
      </c>
      <c r="G17" s="39" t="s">
        <v>1</v>
      </c>
      <c r="H17" s="37" t="s">
        <v>85</v>
      </c>
    </row>
    <row r="18" spans="1:8">
      <c r="A18" s="39" t="s">
        <v>136</v>
      </c>
      <c r="B18" s="45" t="s">
        <v>186</v>
      </c>
      <c r="C18" s="44">
        <v>768</v>
      </c>
      <c r="D18" s="44" t="str">
        <f t="shared" ca="1" si="0"/>
        <v>.</v>
      </c>
      <c r="E18" s="44">
        <v>-1</v>
      </c>
      <c r="F18" s="44">
        <v>0</v>
      </c>
      <c r="G18" s="39" t="s">
        <v>1</v>
      </c>
      <c r="H18" s="37" t="s">
        <v>86</v>
      </c>
    </row>
    <row r="19" spans="1:8">
      <c r="A19" s="39" t="s">
        <v>137</v>
      </c>
      <c r="B19" s="45" t="s">
        <v>187</v>
      </c>
      <c r="C19" s="44">
        <v>768</v>
      </c>
      <c r="D19" s="44" t="str">
        <f t="shared" ca="1" si="0"/>
        <v>.</v>
      </c>
      <c r="E19" s="44">
        <v>-1</v>
      </c>
      <c r="F19" s="44">
        <v>0</v>
      </c>
      <c r="G19" s="39" t="s">
        <v>1</v>
      </c>
      <c r="H19" s="37" t="s">
        <v>87</v>
      </c>
    </row>
    <row r="20" spans="1:8">
      <c r="A20" s="39" t="s">
        <v>138</v>
      </c>
      <c r="B20" s="45" t="s">
        <v>188</v>
      </c>
      <c r="C20" s="44">
        <v>768</v>
      </c>
      <c r="D20" s="44" t="str">
        <f t="shared" ca="1" si="0"/>
        <v>.</v>
      </c>
      <c r="E20" s="44">
        <v>-1</v>
      </c>
      <c r="F20" s="44">
        <v>0</v>
      </c>
      <c r="G20" s="39" t="s">
        <v>1</v>
      </c>
      <c r="H20" s="37" t="s">
        <v>88</v>
      </c>
    </row>
    <row r="21" spans="1:8">
      <c r="A21" s="39" t="s">
        <v>139</v>
      </c>
      <c r="B21" s="45" t="s">
        <v>189</v>
      </c>
      <c r="C21" s="44">
        <v>768</v>
      </c>
      <c r="D21" s="44" t="str">
        <f t="shared" ca="1" si="0"/>
        <v>.</v>
      </c>
      <c r="E21" s="44">
        <v>-1</v>
      </c>
      <c r="F21" s="44">
        <v>0</v>
      </c>
      <c r="G21" s="39" t="s">
        <v>1</v>
      </c>
      <c r="H21" s="37" t="s">
        <v>89</v>
      </c>
    </row>
    <row r="22" spans="1:8">
      <c r="A22" s="39" t="s">
        <v>140</v>
      </c>
      <c r="B22" s="45" t="s">
        <v>190</v>
      </c>
      <c r="C22" s="44">
        <v>768</v>
      </c>
      <c r="D22" s="44" t="str">
        <f t="shared" ca="1" si="0"/>
        <v>.</v>
      </c>
      <c r="E22" s="44">
        <v>-1</v>
      </c>
      <c r="F22" s="44">
        <v>0</v>
      </c>
      <c r="G22" s="39" t="s">
        <v>1</v>
      </c>
      <c r="H22" s="37" t="s">
        <v>90</v>
      </c>
    </row>
    <row r="23" spans="1:8">
      <c r="A23" s="39" t="s">
        <v>141</v>
      </c>
      <c r="B23" s="45" t="s">
        <v>191</v>
      </c>
      <c r="C23" s="44">
        <v>768</v>
      </c>
      <c r="D23" s="44" t="str">
        <f t="shared" ca="1" si="0"/>
        <v>.</v>
      </c>
      <c r="E23" s="44">
        <v>-1</v>
      </c>
      <c r="F23" s="44">
        <v>0</v>
      </c>
      <c r="G23" s="39" t="s">
        <v>1</v>
      </c>
      <c r="H23" s="37" t="s">
        <v>91</v>
      </c>
    </row>
    <row r="24" spans="1:8">
      <c r="A24" s="39" t="s">
        <v>142</v>
      </c>
      <c r="B24" s="45" t="s">
        <v>192</v>
      </c>
      <c r="C24" s="44">
        <v>768</v>
      </c>
      <c r="D24" s="44" t="str">
        <f t="shared" ca="1" si="0"/>
        <v>.</v>
      </c>
      <c r="E24" s="44">
        <v>-1</v>
      </c>
      <c r="F24" s="44">
        <v>0</v>
      </c>
      <c r="G24" s="39" t="s">
        <v>1</v>
      </c>
      <c r="H24" s="37" t="s">
        <v>92</v>
      </c>
    </row>
    <row r="25" spans="1:8">
      <c r="A25" s="39" t="s">
        <v>143</v>
      </c>
      <c r="B25" s="45" t="s">
        <v>193</v>
      </c>
      <c r="C25" s="44">
        <v>768</v>
      </c>
      <c r="D25" s="44" t="str">
        <f t="shared" ca="1" si="0"/>
        <v>.</v>
      </c>
      <c r="E25" s="44">
        <v>-1</v>
      </c>
      <c r="F25" s="44">
        <v>0</v>
      </c>
      <c r="G25" s="39" t="s">
        <v>1</v>
      </c>
      <c r="H25" s="37" t="s">
        <v>93</v>
      </c>
    </row>
    <row r="26" spans="1:8">
      <c r="A26" s="39" t="s">
        <v>144</v>
      </c>
      <c r="B26" s="45" t="s">
        <v>194</v>
      </c>
      <c r="C26" s="44">
        <v>768</v>
      </c>
      <c r="D26" s="44" t="str">
        <f t="shared" ca="1" si="0"/>
        <v>.</v>
      </c>
      <c r="E26" s="44">
        <v>-1</v>
      </c>
      <c r="F26" s="44">
        <v>0</v>
      </c>
      <c r="G26" s="39" t="s">
        <v>1</v>
      </c>
      <c r="H26" s="37" t="s">
        <v>94</v>
      </c>
    </row>
    <row r="27" spans="1:8">
      <c r="A27" s="39" t="s">
        <v>145</v>
      </c>
      <c r="B27" s="45" t="s">
        <v>195</v>
      </c>
      <c r="C27" s="44">
        <v>768</v>
      </c>
      <c r="D27" s="44" t="str">
        <f t="shared" ca="1" si="0"/>
        <v>.</v>
      </c>
      <c r="E27" s="44">
        <v>-1</v>
      </c>
      <c r="F27" s="44">
        <v>0</v>
      </c>
      <c r="G27" s="39" t="s">
        <v>1</v>
      </c>
      <c r="H27" s="37" t="s">
        <v>95</v>
      </c>
    </row>
    <row r="28" spans="1:8">
      <c r="A28" s="39" t="s">
        <v>146</v>
      </c>
      <c r="B28" s="45" t="s">
        <v>196</v>
      </c>
      <c r="C28" s="44">
        <v>768</v>
      </c>
      <c r="D28" s="44" t="str">
        <f t="shared" ca="1" si="0"/>
        <v>.</v>
      </c>
      <c r="E28" s="44">
        <v>-1</v>
      </c>
      <c r="F28" s="44">
        <v>0</v>
      </c>
      <c r="G28" s="39" t="s">
        <v>1</v>
      </c>
      <c r="H28" s="37" t="s">
        <v>96</v>
      </c>
    </row>
    <row r="29" spans="1:8">
      <c r="A29" s="39" t="s">
        <v>147</v>
      </c>
      <c r="B29" s="45" t="s">
        <v>197</v>
      </c>
      <c r="C29" s="44">
        <v>768</v>
      </c>
      <c r="D29" s="44" t="str">
        <f t="shared" ca="1" si="0"/>
        <v>.</v>
      </c>
      <c r="E29" s="44">
        <v>-1</v>
      </c>
      <c r="F29" s="44">
        <v>0</v>
      </c>
      <c r="G29" s="39" t="s">
        <v>1</v>
      </c>
      <c r="H29" s="37" t="s">
        <v>97</v>
      </c>
    </row>
    <row r="30" spans="1:8">
      <c r="A30" s="39" t="s">
        <v>148</v>
      </c>
      <c r="B30" s="45" t="s">
        <v>198</v>
      </c>
      <c r="C30" s="44">
        <v>768</v>
      </c>
      <c r="D30" s="44" t="str">
        <f t="shared" ca="1" si="0"/>
        <v>.</v>
      </c>
      <c r="E30" s="44">
        <v>-1</v>
      </c>
      <c r="F30" s="44">
        <v>0</v>
      </c>
      <c r="G30" s="39" t="s">
        <v>1</v>
      </c>
      <c r="H30" s="37" t="s">
        <v>98</v>
      </c>
    </row>
    <row r="31" spans="1:8">
      <c r="A31" s="39" t="s">
        <v>149</v>
      </c>
      <c r="B31" s="45" t="s">
        <v>199</v>
      </c>
      <c r="C31" s="44">
        <v>768</v>
      </c>
      <c r="D31" s="44" t="str">
        <f t="shared" ca="1" si="0"/>
        <v>.</v>
      </c>
      <c r="E31" s="44">
        <v>-1</v>
      </c>
      <c r="F31" s="44">
        <v>0</v>
      </c>
      <c r="G31" s="39" t="s">
        <v>1</v>
      </c>
      <c r="H31" s="37" t="s">
        <v>99</v>
      </c>
    </row>
    <row r="32" spans="1:8">
      <c r="A32" s="39" t="s">
        <v>150</v>
      </c>
      <c r="B32" s="45" t="s">
        <v>200</v>
      </c>
      <c r="C32" s="44">
        <v>768</v>
      </c>
      <c r="D32" s="44" t="str">
        <f t="shared" ca="1" si="0"/>
        <v>.</v>
      </c>
      <c r="E32" s="44">
        <v>-1</v>
      </c>
      <c r="F32" s="44">
        <v>0</v>
      </c>
      <c r="G32" s="39" t="s">
        <v>1</v>
      </c>
      <c r="H32" s="37" t="s">
        <v>100</v>
      </c>
    </row>
    <row r="33" spans="1:8">
      <c r="A33" s="39" t="s">
        <v>151</v>
      </c>
      <c r="B33" s="45" t="s">
        <v>201</v>
      </c>
      <c r="C33" s="44">
        <v>768</v>
      </c>
      <c r="D33" s="44" t="str">
        <f t="shared" ca="1" si="0"/>
        <v>.</v>
      </c>
      <c r="E33" s="44">
        <v>-1</v>
      </c>
      <c r="F33" s="44">
        <v>0</v>
      </c>
      <c r="G33" s="39" t="s">
        <v>1</v>
      </c>
      <c r="H33" s="37" t="s">
        <v>101</v>
      </c>
    </row>
    <row r="34" spans="1:8">
      <c r="A34" s="39" t="s">
        <v>152</v>
      </c>
      <c r="B34" s="45" t="s">
        <v>202</v>
      </c>
      <c r="C34" s="44">
        <v>768</v>
      </c>
      <c r="D34" s="44" t="str">
        <f t="shared" ref="D34:D65" ca="1" si="1">IF(C34&lt;&gt;OFFSET(C34,-1,0),IF(OR(E34=0,E34=1),"NEWBOOL","NEW"),".")</f>
        <v>.</v>
      </c>
      <c r="E34" s="44">
        <v>-1</v>
      </c>
      <c r="F34" s="44">
        <v>0</v>
      </c>
      <c r="G34" s="39" t="s">
        <v>1</v>
      </c>
      <c r="H34" s="37" t="s">
        <v>102</v>
      </c>
    </row>
    <row r="35" spans="1:8">
      <c r="A35" s="39" t="s">
        <v>153</v>
      </c>
      <c r="B35" s="45" t="s">
        <v>203</v>
      </c>
      <c r="C35" s="44">
        <v>768</v>
      </c>
      <c r="D35" s="44" t="str">
        <f t="shared" ca="1" si="1"/>
        <v>.</v>
      </c>
      <c r="E35" s="44">
        <v>-1</v>
      </c>
      <c r="F35" s="44">
        <v>0</v>
      </c>
      <c r="G35" s="39" t="s">
        <v>1</v>
      </c>
      <c r="H35" s="37" t="s">
        <v>103</v>
      </c>
    </row>
    <row r="36" spans="1:8">
      <c r="A36" s="39" t="s">
        <v>154</v>
      </c>
      <c r="B36" s="45" t="s">
        <v>204</v>
      </c>
      <c r="C36" s="44">
        <v>768</v>
      </c>
      <c r="D36" s="44" t="str">
        <f t="shared" ca="1" si="1"/>
        <v>.</v>
      </c>
      <c r="E36" s="44">
        <v>-1</v>
      </c>
      <c r="F36" s="44">
        <v>0</v>
      </c>
      <c r="G36" s="39" t="s">
        <v>1</v>
      </c>
      <c r="H36" s="37" t="s">
        <v>104</v>
      </c>
    </row>
    <row r="37" spans="1:8">
      <c r="A37" s="39" t="s">
        <v>155</v>
      </c>
      <c r="B37" s="45" t="s">
        <v>205</v>
      </c>
      <c r="C37" s="44">
        <v>768</v>
      </c>
      <c r="D37" s="44" t="str">
        <f t="shared" ca="1" si="1"/>
        <v>.</v>
      </c>
      <c r="E37" s="44">
        <v>-1</v>
      </c>
      <c r="F37" s="44">
        <v>0</v>
      </c>
      <c r="G37" s="39" t="s">
        <v>1</v>
      </c>
      <c r="H37" s="37" t="s">
        <v>105</v>
      </c>
    </row>
    <row r="38" spans="1:8">
      <c r="A38" s="39" t="s">
        <v>156</v>
      </c>
      <c r="B38" s="45" t="s">
        <v>206</v>
      </c>
      <c r="C38" s="44">
        <v>768</v>
      </c>
      <c r="D38" s="44" t="str">
        <f t="shared" ca="1" si="1"/>
        <v>.</v>
      </c>
      <c r="E38" s="44">
        <v>-1</v>
      </c>
      <c r="F38" s="44">
        <v>0</v>
      </c>
      <c r="G38" s="39" t="s">
        <v>1</v>
      </c>
      <c r="H38" s="37" t="s">
        <v>106</v>
      </c>
    </row>
    <row r="39" spans="1:8">
      <c r="A39" s="39" t="s">
        <v>157</v>
      </c>
      <c r="B39" s="45" t="s">
        <v>207</v>
      </c>
      <c r="C39" s="44">
        <v>768</v>
      </c>
      <c r="D39" s="44" t="str">
        <f t="shared" ca="1" si="1"/>
        <v>.</v>
      </c>
      <c r="E39" s="44">
        <v>-1</v>
      </c>
      <c r="F39" s="44">
        <v>0</v>
      </c>
      <c r="G39" s="39" t="s">
        <v>1</v>
      </c>
      <c r="H39" s="37" t="s">
        <v>107</v>
      </c>
    </row>
    <row r="40" spans="1:8">
      <c r="A40" s="39" t="s">
        <v>158</v>
      </c>
      <c r="B40" s="45" t="s">
        <v>208</v>
      </c>
      <c r="C40" s="44">
        <v>768</v>
      </c>
      <c r="D40" s="44" t="str">
        <f t="shared" ca="1" si="1"/>
        <v>.</v>
      </c>
      <c r="E40" s="44">
        <v>-1</v>
      </c>
      <c r="F40" s="44">
        <v>0</v>
      </c>
      <c r="G40" s="39" t="s">
        <v>1</v>
      </c>
      <c r="H40" s="37" t="s">
        <v>108</v>
      </c>
    </row>
    <row r="41" spans="1:8">
      <c r="A41" s="39" t="s">
        <v>159</v>
      </c>
      <c r="B41" s="45" t="s">
        <v>209</v>
      </c>
      <c r="C41" s="44">
        <v>768</v>
      </c>
      <c r="D41" s="44" t="str">
        <f t="shared" ca="1" si="1"/>
        <v>.</v>
      </c>
      <c r="E41" s="44">
        <v>-1</v>
      </c>
      <c r="F41" s="44">
        <v>0</v>
      </c>
      <c r="G41" s="39" t="s">
        <v>1</v>
      </c>
      <c r="H41" s="37" t="s">
        <v>109</v>
      </c>
    </row>
    <row r="42" spans="1:8">
      <c r="A42" s="39" t="s">
        <v>160</v>
      </c>
      <c r="B42" s="45" t="s">
        <v>210</v>
      </c>
      <c r="C42" s="44">
        <v>768</v>
      </c>
      <c r="D42" s="44" t="str">
        <f t="shared" ca="1" si="1"/>
        <v>.</v>
      </c>
      <c r="E42" s="44">
        <v>-1</v>
      </c>
      <c r="F42" s="44">
        <v>0</v>
      </c>
      <c r="G42" s="39" t="s">
        <v>1</v>
      </c>
      <c r="H42" s="37" t="s">
        <v>110</v>
      </c>
    </row>
    <row r="43" spans="1:8">
      <c r="A43" s="39" t="s">
        <v>161</v>
      </c>
      <c r="B43" s="45" t="s">
        <v>211</v>
      </c>
      <c r="C43" s="44">
        <v>768</v>
      </c>
      <c r="D43" s="44" t="str">
        <f t="shared" ca="1" si="1"/>
        <v>.</v>
      </c>
      <c r="E43" s="44">
        <v>-1</v>
      </c>
      <c r="F43" s="44">
        <v>0</v>
      </c>
      <c r="G43" s="39" t="s">
        <v>1</v>
      </c>
      <c r="H43" s="37" t="s">
        <v>111</v>
      </c>
    </row>
    <row r="44" spans="1:8">
      <c r="A44" s="39" t="s">
        <v>162</v>
      </c>
      <c r="B44" s="45" t="s">
        <v>212</v>
      </c>
      <c r="C44" s="44">
        <v>768</v>
      </c>
      <c r="D44" s="44" t="str">
        <f t="shared" ca="1" si="1"/>
        <v>.</v>
      </c>
      <c r="E44" s="44">
        <v>-1</v>
      </c>
      <c r="F44" s="44">
        <v>0</v>
      </c>
      <c r="G44" s="39" t="s">
        <v>1</v>
      </c>
      <c r="H44" s="37" t="s">
        <v>112</v>
      </c>
    </row>
    <row r="45" spans="1:8">
      <c r="A45" s="39" t="s">
        <v>163</v>
      </c>
      <c r="B45" s="45" t="s">
        <v>213</v>
      </c>
      <c r="C45" s="44">
        <v>768</v>
      </c>
      <c r="D45" s="44" t="str">
        <f t="shared" ca="1" si="1"/>
        <v>.</v>
      </c>
      <c r="E45" s="44">
        <v>-1</v>
      </c>
      <c r="F45" s="44">
        <v>0</v>
      </c>
      <c r="G45" s="39" t="s">
        <v>1</v>
      </c>
      <c r="H45" s="37" t="s">
        <v>113</v>
      </c>
    </row>
    <row r="46" spans="1:8">
      <c r="A46" s="39" t="s">
        <v>164</v>
      </c>
      <c r="B46" s="45" t="s">
        <v>214</v>
      </c>
      <c r="C46" s="44">
        <v>768</v>
      </c>
      <c r="D46" s="44" t="str">
        <f t="shared" ca="1" si="1"/>
        <v>.</v>
      </c>
      <c r="E46" s="44">
        <v>-1</v>
      </c>
      <c r="F46" s="44">
        <v>0</v>
      </c>
      <c r="G46" s="39" t="s">
        <v>1</v>
      </c>
      <c r="H46" s="37" t="s">
        <v>114</v>
      </c>
    </row>
    <row r="47" spans="1:8">
      <c r="A47" s="39" t="s">
        <v>165</v>
      </c>
      <c r="B47" s="45" t="s">
        <v>215</v>
      </c>
      <c r="C47" s="44">
        <v>768</v>
      </c>
      <c r="D47" s="44" t="str">
        <f t="shared" ca="1" si="1"/>
        <v>.</v>
      </c>
      <c r="E47" s="44">
        <v>-1</v>
      </c>
      <c r="F47" s="44">
        <v>0</v>
      </c>
      <c r="G47" s="39" t="s">
        <v>1</v>
      </c>
      <c r="H47" s="37" t="s">
        <v>115</v>
      </c>
    </row>
    <row r="48" spans="1:8">
      <c r="A48" s="39" t="s">
        <v>166</v>
      </c>
      <c r="B48" s="45" t="s">
        <v>216</v>
      </c>
      <c r="C48" s="44">
        <v>768</v>
      </c>
      <c r="D48" s="44" t="str">
        <f t="shared" ca="1" si="1"/>
        <v>.</v>
      </c>
      <c r="E48" s="44">
        <v>-1</v>
      </c>
      <c r="F48" s="44">
        <v>0</v>
      </c>
      <c r="G48" s="39" t="s">
        <v>1</v>
      </c>
      <c r="H48" s="37" t="s">
        <v>116</v>
      </c>
    </row>
    <row r="49" spans="1:9">
      <c r="A49" s="39" t="s">
        <v>167</v>
      </c>
      <c r="B49" s="45" t="s">
        <v>217</v>
      </c>
      <c r="C49" s="44">
        <v>768</v>
      </c>
      <c r="D49" s="44" t="str">
        <f t="shared" ca="1" si="1"/>
        <v>.</v>
      </c>
      <c r="E49" s="44">
        <v>-1</v>
      </c>
      <c r="F49" s="44">
        <v>0</v>
      </c>
      <c r="G49" s="39" t="s">
        <v>1</v>
      </c>
      <c r="H49" s="37" t="s">
        <v>117</v>
      </c>
    </row>
    <row r="50" spans="1:9">
      <c r="A50" s="39" t="s">
        <v>168</v>
      </c>
      <c r="B50" s="45" t="s">
        <v>218</v>
      </c>
      <c r="C50" s="44">
        <v>768</v>
      </c>
      <c r="D50" s="44" t="str">
        <f t="shared" ca="1" si="1"/>
        <v>.</v>
      </c>
      <c r="E50" s="44">
        <v>-1</v>
      </c>
      <c r="F50" s="44">
        <v>0</v>
      </c>
      <c r="G50" s="39" t="s">
        <v>1</v>
      </c>
      <c r="H50" s="37" t="s">
        <v>118</v>
      </c>
    </row>
    <row r="51" spans="1:9">
      <c r="A51" s="39" t="s">
        <v>169</v>
      </c>
      <c r="B51" s="45" t="s">
        <v>219</v>
      </c>
      <c r="C51" s="44">
        <v>768</v>
      </c>
      <c r="D51" s="44" t="str">
        <f t="shared" ca="1" si="1"/>
        <v>.</v>
      </c>
      <c r="E51" s="44">
        <v>-1</v>
      </c>
      <c r="F51" s="44">
        <v>0</v>
      </c>
      <c r="G51" s="39" t="s">
        <v>1</v>
      </c>
      <c r="H51" s="37" t="s">
        <v>119</v>
      </c>
    </row>
    <row r="52" spans="1:9">
      <c r="A52" s="35"/>
      <c r="B52" s="36"/>
      <c r="C52" s="35"/>
      <c r="G52" s="35"/>
      <c r="H52" s="36"/>
      <c r="I52" s="36"/>
    </row>
  </sheetData>
  <sheetProtection password="CA1B" sheet="1" objects="1" scenarios="1" formatCells="0" formatRows="0" insertRows="0" insertHyperlinks="0" deleteRows="0" sort="0" autoFilter="0" pivotTables="0"/>
  <protectedRanges>
    <protectedRange sqref="I1:J1048576 H52:H1048576 A2:G1048576" name="Range1" securityDescriptor="O:WDG:WDD:(A;;CC;;;WD)"/>
  </protectedRanges>
  <sortState ref="A2:I52">
    <sortCondition ref="B1:B1048576"/>
  </sortState>
  <dataValidations count="1">
    <dataValidation type="list" allowBlank="1" showInputMessage="1" showErrorMessage="1" sqref="G3:G1048576">
      <formula1>Input_Blocks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46"/>
  <sheetViews>
    <sheetView zoomScaleNormal="100" workbookViewId="0">
      <selection activeCell="A2" sqref="A2:K46"/>
    </sheetView>
  </sheetViews>
  <sheetFormatPr defaultRowHeight="15"/>
  <cols>
    <col min="1" max="1" width="39" style="41" customWidth="1"/>
    <col min="2" max="2" width="12.85546875" style="46" hidden="1" customWidth="1"/>
    <col min="3" max="3" width="8" style="47" hidden="1" customWidth="1"/>
    <col min="4" max="4" width="10.140625" style="47" hidden="1" customWidth="1"/>
    <col min="5" max="6" width="7.140625" style="47" hidden="1" customWidth="1"/>
    <col min="7" max="7" width="11.28515625" style="58" customWidth="1"/>
    <col min="8" max="8" width="16.140625" style="38" customWidth="1"/>
    <col min="9" max="9" width="8.85546875" style="41" customWidth="1"/>
    <col min="10" max="10" width="8.140625" style="42" customWidth="1"/>
    <col min="11" max="11" width="17.28515625" style="41" bestFit="1" customWidth="1"/>
    <col min="12" max="12" width="14.140625" style="39" bestFit="1" customWidth="1"/>
    <col min="13" max="13" width="18.85546875" style="41" bestFit="1" customWidth="1"/>
    <col min="14" max="14" width="13.85546875" style="41" bestFit="1" customWidth="1"/>
    <col min="15" max="16384" width="9.140625" style="41"/>
  </cols>
  <sheetData>
    <row r="1" spans="1:11" s="35" customFormat="1" ht="27" customHeight="1">
      <c r="A1" s="35" t="s">
        <v>221</v>
      </c>
      <c r="C1" s="35" t="s">
        <v>61</v>
      </c>
      <c r="G1" s="35" t="s">
        <v>63</v>
      </c>
      <c r="H1" s="35" t="s">
        <v>64</v>
      </c>
      <c r="I1" s="35" t="s">
        <v>65</v>
      </c>
      <c r="J1" s="35" t="s">
        <v>66</v>
      </c>
      <c r="K1" s="41" t="s">
        <v>67</v>
      </c>
    </row>
    <row r="2" spans="1:11" s="35" customFormat="1">
      <c r="A2" s="37" t="s">
        <v>69</v>
      </c>
      <c r="B2" s="45" t="s">
        <v>220</v>
      </c>
      <c r="C2" s="44">
        <v>1024</v>
      </c>
      <c r="D2" s="44" t="str">
        <f ca="1">IF(C2&lt;&gt;OFFSET(C2,-1,0),IF(COUNTIF(Inputs!C:C,C2)=0, IF(OR(E2=0,E2=1),"NEWBOOL","NEW"),"." ), ".")</f>
        <v>NEW</v>
      </c>
      <c r="E2" s="47">
        <v>-1</v>
      </c>
      <c r="F2" s="44">
        <v>0</v>
      </c>
      <c r="G2" s="41" t="s">
        <v>5</v>
      </c>
      <c r="H2" s="38" t="s">
        <v>68</v>
      </c>
      <c r="I2" s="41">
        <v>1</v>
      </c>
      <c r="J2" s="42">
        <v>0</v>
      </c>
      <c r="K2" s="41"/>
    </row>
    <row r="3" spans="1:11">
      <c r="A3" s="35"/>
      <c r="B3" s="36"/>
      <c r="C3" s="35"/>
      <c r="D3" s="44"/>
      <c r="E3" s="44"/>
      <c r="F3" s="44"/>
      <c r="G3" s="57"/>
      <c r="H3" s="36"/>
      <c r="I3" s="40"/>
      <c r="J3" s="40"/>
      <c r="K3" s="40"/>
    </row>
    <row r="4" spans="1:11">
      <c r="A4" s="37"/>
      <c r="B4" s="45"/>
      <c r="C4" s="44"/>
      <c r="D4" s="44"/>
      <c r="E4" s="44"/>
      <c r="F4" s="44"/>
    </row>
    <row r="5" spans="1:11">
      <c r="A5" s="37"/>
      <c r="B5" s="45"/>
      <c r="C5" s="44"/>
      <c r="D5" s="44"/>
      <c r="E5" s="44"/>
      <c r="F5" s="44"/>
    </row>
    <row r="6" spans="1:11">
      <c r="A6" s="37"/>
      <c r="B6" s="45"/>
      <c r="C6" s="44"/>
      <c r="D6" s="44"/>
      <c r="E6" s="44"/>
      <c r="F6" s="44"/>
    </row>
    <row r="7" spans="1:11">
      <c r="A7" s="37"/>
      <c r="B7" s="45"/>
      <c r="C7" s="44"/>
      <c r="D7" s="44"/>
      <c r="E7" s="44"/>
      <c r="F7" s="44"/>
    </row>
    <row r="8" spans="1:11">
      <c r="A8" s="37"/>
      <c r="B8" s="45"/>
      <c r="C8" s="44"/>
      <c r="D8" s="44"/>
      <c r="E8" s="44"/>
      <c r="F8" s="44"/>
    </row>
    <row r="9" spans="1:11">
      <c r="A9" s="37"/>
      <c r="B9" s="45"/>
      <c r="C9" s="44"/>
      <c r="D9" s="44"/>
      <c r="E9" s="44"/>
      <c r="F9" s="44"/>
    </row>
    <row r="10" spans="1:11">
      <c r="A10" s="37"/>
      <c r="B10" s="45"/>
      <c r="C10" s="44"/>
      <c r="D10" s="44"/>
      <c r="E10" s="44"/>
      <c r="F10" s="44"/>
    </row>
    <row r="11" spans="1:11">
      <c r="A11" s="37"/>
      <c r="B11" s="45"/>
      <c r="C11" s="44"/>
      <c r="D11" s="44"/>
      <c r="E11" s="44"/>
      <c r="F11" s="44"/>
    </row>
    <row r="12" spans="1:11">
      <c r="A12" s="37"/>
      <c r="B12" s="45"/>
      <c r="C12" s="44"/>
      <c r="D12" s="44"/>
      <c r="E12" s="44"/>
      <c r="F12" s="44"/>
    </row>
    <row r="13" spans="1:11">
      <c r="A13" s="37"/>
      <c r="B13" s="45"/>
      <c r="C13" s="44"/>
      <c r="D13" s="44"/>
      <c r="E13" s="44"/>
      <c r="F13" s="44"/>
    </row>
    <row r="14" spans="1:11">
      <c r="A14" s="37"/>
      <c r="B14" s="45"/>
      <c r="C14" s="44"/>
      <c r="D14" s="44"/>
      <c r="E14" s="44"/>
      <c r="F14" s="44"/>
    </row>
    <row r="15" spans="1:11">
      <c r="A15" s="37"/>
      <c r="B15" s="45"/>
      <c r="C15" s="44"/>
      <c r="D15" s="44"/>
      <c r="E15" s="44"/>
      <c r="F15" s="44"/>
    </row>
    <row r="16" spans="1:11">
      <c r="A16" s="37"/>
      <c r="B16" s="45"/>
      <c r="C16" s="44"/>
      <c r="D16" s="44"/>
      <c r="E16" s="44"/>
      <c r="F16" s="44"/>
    </row>
    <row r="17" spans="1:1">
      <c r="A17" s="37"/>
    </row>
    <row r="18" spans="1:1">
      <c r="A18" s="37"/>
    </row>
    <row r="19" spans="1:1">
      <c r="A19" s="37"/>
    </row>
    <row r="20" spans="1:1">
      <c r="A20" s="37"/>
    </row>
    <row r="21" spans="1:1">
      <c r="A21" s="37"/>
    </row>
    <row r="22" spans="1:1">
      <c r="A22" s="37"/>
    </row>
    <row r="23" spans="1:1">
      <c r="A23" s="37"/>
    </row>
    <row r="24" spans="1:1">
      <c r="A24" s="37"/>
    </row>
    <row r="25" spans="1:1">
      <c r="A25" s="37"/>
    </row>
    <row r="26" spans="1:1">
      <c r="A26" s="37"/>
    </row>
    <row r="27" spans="1:1">
      <c r="A27" s="37"/>
    </row>
    <row r="28" spans="1:1">
      <c r="A28" s="37"/>
    </row>
    <row r="29" spans="1:1">
      <c r="A29" s="37"/>
    </row>
    <row r="30" spans="1:1">
      <c r="A30" s="37"/>
    </row>
    <row r="31" spans="1:1">
      <c r="A31" s="37"/>
    </row>
    <row r="32" spans="1:1">
      <c r="A32" s="37"/>
    </row>
    <row r="33" spans="1:1">
      <c r="A33" s="37"/>
    </row>
    <row r="34" spans="1:1">
      <c r="A34" s="37"/>
    </row>
    <row r="35" spans="1:1">
      <c r="A35" s="37"/>
    </row>
    <row r="36" spans="1:1">
      <c r="A36" s="37"/>
    </row>
    <row r="37" spans="1:1">
      <c r="A37" s="37"/>
    </row>
    <row r="38" spans="1:1">
      <c r="A38" s="37"/>
    </row>
    <row r="39" spans="1:1">
      <c r="A39" s="37"/>
    </row>
    <row r="40" spans="1:1">
      <c r="A40" s="37"/>
    </row>
    <row r="41" spans="1:1">
      <c r="A41" s="37"/>
    </row>
    <row r="42" spans="1:1">
      <c r="A42" s="37"/>
    </row>
    <row r="43" spans="1:1">
      <c r="A43" s="37"/>
    </row>
    <row r="44" spans="1:1">
      <c r="A44" s="37"/>
    </row>
    <row r="45" spans="1:1">
      <c r="A45" s="37"/>
    </row>
    <row r="46" spans="1:1">
      <c r="A46" s="37"/>
    </row>
  </sheetData>
  <sheetProtection password="CA1B" sheet="1" objects="1" scenarios="1" formatCells="0" formatRows="0" insertRows="0" insertHyperlinks="0" deleteRows="0" sort="0" autoFilter="0" pivotTables="0"/>
  <protectedRanges>
    <protectedRange sqref="B2" name="Range1_2" securityDescriptor="O:WDG:WDD:(A;;CC;;;WD)"/>
    <protectedRange sqref="L3:L18" name="Range1_7" securityDescriptor="O:WDG:WDD:(A;;CC;;;WD)"/>
  </protectedRanges>
  <sortState ref="A2:K46">
    <sortCondition ref="B1:B1048576"/>
  </sortState>
  <dataValidations count="1">
    <dataValidation type="list" allowBlank="1" showInputMessage="1" showErrorMessage="1" sqref="G3:G1998">
      <formula1>Output_Blocks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57"/>
  <sheetViews>
    <sheetView topLeftCell="E1" workbookViewId="0">
      <selection activeCell="AF44" sqref="AF44"/>
    </sheetView>
  </sheetViews>
  <sheetFormatPr defaultRowHeight="15"/>
  <cols>
    <col min="1" max="1" width="14.140625" style="2" hidden="1" customWidth="1"/>
    <col min="2" max="2" width="10.85546875" style="2" hidden="1" customWidth="1"/>
    <col min="3" max="3" width="13.42578125" style="2" hidden="1" customWidth="1"/>
    <col min="4" max="4" width="9.5703125" style="2" hidden="1" customWidth="1"/>
    <col min="5" max="5" width="6.85546875" style="2" customWidth="1"/>
    <col min="6" max="6" width="4" style="2" customWidth="1"/>
    <col min="7" max="7" width="3.7109375" style="2" customWidth="1"/>
    <col min="8" max="25" width="4" style="2" customWidth="1"/>
    <col min="26" max="27" width="9.140625" style="2"/>
    <col min="28" max="47" width="3.7109375" style="2" customWidth="1"/>
    <col min="48" max="16384" width="9.140625" style="2"/>
  </cols>
  <sheetData>
    <row r="1" spans="1:5" ht="26.25">
      <c r="E1" s="29" t="s">
        <v>44</v>
      </c>
    </row>
    <row r="2" spans="1:5">
      <c r="A2" s="1" t="s">
        <v>52</v>
      </c>
    </row>
    <row r="3" spans="1:5" ht="30" hidden="1">
      <c r="A3" s="43" t="s">
        <v>53</v>
      </c>
      <c r="B3" s="43" t="s">
        <v>54</v>
      </c>
      <c r="C3" s="43" t="s">
        <v>55</v>
      </c>
    </row>
    <row r="4" spans="1:5" hidden="1">
      <c r="A4" s="54">
        <v>10</v>
      </c>
      <c r="B4" s="55">
        <v>2688</v>
      </c>
      <c r="C4" s="56">
        <v>84</v>
      </c>
    </row>
    <row r="5" spans="1:5" hidden="1">
      <c r="A5" s="56">
        <v>2</v>
      </c>
      <c r="B5" s="55"/>
      <c r="C5" s="56"/>
    </row>
    <row r="6" spans="1:5" hidden="1">
      <c r="A6" s="56">
        <v>32</v>
      </c>
      <c r="B6" s="55">
        <v>94</v>
      </c>
      <c r="C6" s="56">
        <v>94</v>
      </c>
      <c r="D6" s="2" t="s">
        <v>56</v>
      </c>
    </row>
    <row r="7" spans="1:5" hidden="1">
      <c r="A7" s="56">
        <v>64</v>
      </c>
      <c r="B7" s="55">
        <v>125</v>
      </c>
      <c r="C7" s="56">
        <v>125</v>
      </c>
      <c r="D7" s="2" t="s">
        <v>57</v>
      </c>
    </row>
    <row r="8" spans="1:5" hidden="1">
      <c r="A8" s="47"/>
      <c r="B8" s="47"/>
      <c r="C8" s="56">
        <f>SUM(Inputs!F:F, Outputs!F:F)</f>
        <v>0</v>
      </c>
      <c r="D8" s="2" t="s">
        <v>58</v>
      </c>
    </row>
    <row r="9" spans="1:5" hidden="1"/>
    <row r="10" spans="1:5" hidden="1">
      <c r="A10" s="1" t="s">
        <v>42</v>
      </c>
    </row>
    <row r="11" spans="1:5" hidden="1">
      <c r="A11" s="28">
        <v>85</v>
      </c>
      <c r="B11" s="2" t="s">
        <v>41</v>
      </c>
    </row>
    <row r="12" spans="1:5" hidden="1"/>
    <row r="13" spans="1:5" hidden="1">
      <c r="A13" s="1" t="s">
        <v>16</v>
      </c>
      <c r="C13" s="1" t="s">
        <v>17</v>
      </c>
    </row>
    <row r="14" spans="1:5" hidden="1">
      <c r="A14" s="2" t="s">
        <v>0</v>
      </c>
      <c r="C14" s="2" t="s">
        <v>4</v>
      </c>
    </row>
    <row r="15" spans="1:5" hidden="1">
      <c r="A15" s="2" t="s">
        <v>1</v>
      </c>
      <c r="C15" s="2" t="s">
        <v>5</v>
      </c>
    </row>
    <row r="16" spans="1:5" hidden="1">
      <c r="A16" s="2" t="s">
        <v>3</v>
      </c>
      <c r="C16" s="2" t="s">
        <v>7</v>
      </c>
    </row>
    <row r="17" spans="1:25" hidden="1">
      <c r="A17" s="2" t="s">
        <v>2</v>
      </c>
      <c r="C17" s="2" t="s">
        <v>6</v>
      </c>
    </row>
    <row r="18" spans="1:25" hidden="1"/>
    <row r="19" spans="1:25" hidden="1"/>
    <row r="20" spans="1:25">
      <c r="E20" s="2" t="s">
        <v>45</v>
      </c>
      <c r="G20" s="64" t="s">
        <v>46</v>
      </c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</row>
    <row r="21" spans="1:25"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</row>
    <row r="22" spans="1:25"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</row>
    <row r="23" spans="1:25">
      <c r="A23" s="1" t="s">
        <v>10</v>
      </c>
      <c r="F23" s="1" t="s">
        <v>21</v>
      </c>
    </row>
    <row r="24" spans="1:25">
      <c r="A24" s="1" t="s">
        <v>8</v>
      </c>
      <c r="B24" s="1" t="s">
        <v>9</v>
      </c>
      <c r="C24" s="1" t="s">
        <v>20</v>
      </c>
      <c r="E24" s="5" t="s">
        <v>26</v>
      </c>
      <c r="F24" s="1">
        <v>0</v>
      </c>
      <c r="G24" s="1">
        <f>F24+1</f>
        <v>1</v>
      </c>
      <c r="H24" s="1">
        <f t="shared" ref="H24:Y24" si="0">G24+1</f>
        <v>2</v>
      </c>
      <c r="I24" s="1">
        <f t="shared" si="0"/>
        <v>3</v>
      </c>
      <c r="J24" s="1">
        <f t="shared" si="0"/>
        <v>4</v>
      </c>
      <c r="K24" s="1">
        <f t="shared" si="0"/>
        <v>5</v>
      </c>
      <c r="L24" s="1">
        <f t="shared" si="0"/>
        <v>6</v>
      </c>
      <c r="M24" s="1">
        <f t="shared" si="0"/>
        <v>7</v>
      </c>
      <c r="N24" s="1">
        <f t="shared" si="0"/>
        <v>8</v>
      </c>
      <c r="O24" s="1">
        <f t="shared" si="0"/>
        <v>9</v>
      </c>
      <c r="P24" s="1">
        <f t="shared" si="0"/>
        <v>10</v>
      </c>
      <c r="Q24" s="1">
        <f t="shared" si="0"/>
        <v>11</v>
      </c>
      <c r="R24" s="1">
        <f t="shared" si="0"/>
        <v>12</v>
      </c>
      <c r="S24" s="1">
        <f t="shared" si="0"/>
        <v>13</v>
      </c>
      <c r="T24" s="1">
        <f t="shared" si="0"/>
        <v>14</v>
      </c>
      <c r="U24" s="1">
        <f t="shared" si="0"/>
        <v>15</v>
      </c>
      <c r="V24" s="1">
        <f t="shared" si="0"/>
        <v>16</v>
      </c>
      <c r="W24" s="1">
        <f t="shared" si="0"/>
        <v>17</v>
      </c>
      <c r="X24" s="1">
        <f t="shared" si="0"/>
        <v>18</v>
      </c>
      <c r="Y24" s="1">
        <f t="shared" si="0"/>
        <v>19</v>
      </c>
    </row>
    <row r="25" spans="1:25" hidden="1">
      <c r="A25" s="2">
        <v>0</v>
      </c>
      <c r="B25" s="4">
        <v>0.1</v>
      </c>
      <c r="C25" s="4">
        <f>INT(B25/Summary!$E$4)</f>
        <v>0</v>
      </c>
      <c r="F25" s="2" t="str">
        <f>IF($C25&gt;0,COUNTIFS(Outputs!$I:$I,Reference!$A25,Outputs!$J:$J,MOD(F$24,$C25)),".")</f>
        <v>.</v>
      </c>
      <c r="G25" s="2" t="str">
        <f>IF($C25&gt;0,COUNTIFS(Outputs!$I:$I,Reference!$A25,Outputs!$J:$J,MOD(G$24,$C25)),".")</f>
        <v>.</v>
      </c>
      <c r="H25" s="2" t="str">
        <f>IF($C25&gt;0,COUNTIFS(Outputs!$I:$I,Reference!$A25,Outputs!$J:$J,MOD(H$24,$C25)),".")</f>
        <v>.</v>
      </c>
      <c r="I25" s="2" t="str">
        <f>IF($C25&gt;0,COUNTIFS(Outputs!$I:$I,Reference!$A25,Outputs!$J:$J,MOD(I$24,$C25)),".")</f>
        <v>.</v>
      </c>
      <c r="J25" s="2" t="str">
        <f>IF($C25&gt;0,COUNTIFS(Outputs!$I:$I,Reference!$A25,Outputs!$J:$J,MOD(J$24,$C25)),".")</f>
        <v>.</v>
      </c>
      <c r="K25" s="2" t="str">
        <f>IF($C25&gt;0,COUNTIFS(Outputs!$I:$I,Reference!$A25,Outputs!$J:$J,MOD(K$24,$C25)),".")</f>
        <v>.</v>
      </c>
      <c r="L25" s="2" t="str">
        <f>IF($C25&gt;0,COUNTIFS(Outputs!$I:$I,Reference!$A25,Outputs!$J:$J,MOD(L$24,$C25)),".")</f>
        <v>.</v>
      </c>
      <c r="M25" s="2" t="str">
        <f>IF($C25&gt;0,COUNTIFS(Outputs!$I:$I,Reference!$A25,Outputs!$J:$J,MOD(M$24,$C25)),".")</f>
        <v>.</v>
      </c>
      <c r="N25" s="2" t="str">
        <f>IF($C25&gt;0,COUNTIFS(Outputs!$I:$I,Reference!$A25,Outputs!$J:$J,MOD(N$24,$C25)),".")</f>
        <v>.</v>
      </c>
      <c r="O25" s="2" t="str">
        <f>IF($C25&gt;0,COUNTIFS(Outputs!$I:$I,Reference!$A25,Outputs!$J:$J,MOD(O$24,$C25)),".")</f>
        <v>.</v>
      </c>
      <c r="P25" s="2" t="str">
        <f>IF($C25&gt;0,COUNTIFS(Outputs!$I:$I,Reference!$A25,Outputs!$J:$J,MOD(P$24,$C25)),".")</f>
        <v>.</v>
      </c>
      <c r="Q25" s="2" t="str">
        <f>IF($C25&gt;0,COUNTIFS(Outputs!$I:$I,Reference!$A25,Outputs!$J:$J,MOD(Q$24,$C25)),".")</f>
        <v>.</v>
      </c>
      <c r="R25" s="2" t="str">
        <f>IF($C25&gt;0,COUNTIFS(Outputs!$I:$I,Reference!$A25,Outputs!$J:$J,MOD(R$24,$C25)),".")</f>
        <v>.</v>
      </c>
      <c r="S25" s="2" t="str">
        <f>IF($C25&gt;0,COUNTIFS(Outputs!$I:$I,Reference!$A25,Outputs!$J:$J,MOD(S$24,$C25)),".")</f>
        <v>.</v>
      </c>
      <c r="T25" s="2" t="str">
        <f>IF($C25&gt;0,COUNTIFS(Outputs!$I:$I,Reference!$A25,Outputs!$J:$J,MOD(T$24,$C25)),".")</f>
        <v>.</v>
      </c>
      <c r="U25" s="2" t="str">
        <f>IF($C25&gt;0,COUNTIFS(Outputs!$I:$I,Reference!$A25,Outputs!$J:$J,MOD(U$24,$C25)),".")</f>
        <v>.</v>
      </c>
      <c r="V25" s="2" t="str">
        <f>IF($C25&gt;0,COUNTIFS(Outputs!$I:$I,Reference!$A25,Outputs!$J:$J,MOD(V$24,$C25)),".")</f>
        <v>.</v>
      </c>
      <c r="W25" s="2" t="str">
        <f>IF($C25&gt;0,COUNTIFS(Outputs!$I:$I,Reference!$A25,Outputs!$J:$J,MOD(W$24,$C25)),".")</f>
        <v>.</v>
      </c>
      <c r="X25" s="2" t="str">
        <f>IF($C25&gt;0,COUNTIFS(Outputs!$I:$I,Reference!$A25,Outputs!$J:$J,MOD(X$24,$C25)),".")</f>
        <v>.</v>
      </c>
      <c r="Y25" s="2" t="str">
        <f>IF($C25&gt;0,COUNTIFS(Outputs!$I:$I,Reference!$A25,Outputs!$J:$J,MOD(Y$24,$C25)),".")</f>
        <v>.</v>
      </c>
    </row>
    <row r="26" spans="1:25" hidden="1">
      <c r="A26" s="2">
        <v>1</v>
      </c>
      <c r="B26" s="4">
        <v>0.5</v>
      </c>
      <c r="C26" s="4">
        <f>INT(B26/Summary!$E$4)</f>
        <v>1</v>
      </c>
      <c r="F26" s="2">
        <f>IF($C26&gt;0,COUNTIFS(Outputs!$I:$I,Reference!$A26,Outputs!$J:$J,MOD(F$24,$C26)),".")</f>
        <v>1</v>
      </c>
      <c r="G26" s="2">
        <f>IF($C26&gt;0,COUNTIFS(Outputs!$I:$I,Reference!$A26,Outputs!$J:$J,MOD(G$24,$C26)),".")</f>
        <v>1</v>
      </c>
      <c r="H26" s="2">
        <f>IF($C26&gt;0,COUNTIFS(Outputs!$I:$I,Reference!$A26,Outputs!$J:$J,MOD(H$24,$C26)),".")</f>
        <v>1</v>
      </c>
      <c r="I26" s="2">
        <f>IF($C26&gt;0,COUNTIFS(Outputs!$I:$I,Reference!$A26,Outputs!$J:$J,MOD(I$24,$C26)),".")</f>
        <v>1</v>
      </c>
      <c r="J26" s="2">
        <f>IF($C26&gt;0,COUNTIFS(Outputs!$I:$I,Reference!$A26,Outputs!$J:$J,MOD(J$24,$C26)),".")</f>
        <v>1</v>
      </c>
      <c r="K26" s="2">
        <f>IF($C26&gt;0,COUNTIFS(Outputs!$I:$I,Reference!$A26,Outputs!$J:$J,MOD(K$24,$C26)),".")</f>
        <v>1</v>
      </c>
      <c r="L26" s="2">
        <f>IF($C26&gt;0,COUNTIFS(Outputs!$I:$I,Reference!$A26,Outputs!$J:$J,MOD(L$24,$C26)),".")</f>
        <v>1</v>
      </c>
      <c r="M26" s="2">
        <f>IF($C26&gt;0,COUNTIFS(Outputs!$I:$I,Reference!$A26,Outputs!$J:$J,MOD(M$24,$C26)),".")</f>
        <v>1</v>
      </c>
      <c r="N26" s="2">
        <f>IF($C26&gt;0,COUNTIFS(Outputs!$I:$I,Reference!$A26,Outputs!$J:$J,MOD(N$24,$C26)),".")</f>
        <v>1</v>
      </c>
      <c r="O26" s="2">
        <f>IF($C26&gt;0,COUNTIFS(Outputs!$I:$I,Reference!$A26,Outputs!$J:$J,MOD(O$24,$C26)),".")</f>
        <v>1</v>
      </c>
      <c r="P26" s="2">
        <f>IF($C26&gt;0,COUNTIFS(Outputs!$I:$I,Reference!$A26,Outputs!$J:$J,MOD(P$24,$C26)),".")</f>
        <v>1</v>
      </c>
      <c r="Q26" s="2">
        <f>IF($C26&gt;0,COUNTIFS(Outputs!$I:$I,Reference!$A26,Outputs!$J:$J,MOD(Q$24,$C26)),".")</f>
        <v>1</v>
      </c>
      <c r="R26" s="2">
        <f>IF($C26&gt;0,COUNTIFS(Outputs!$I:$I,Reference!$A26,Outputs!$J:$J,MOD(R$24,$C26)),".")</f>
        <v>1</v>
      </c>
      <c r="S26" s="2">
        <f>IF($C26&gt;0,COUNTIFS(Outputs!$I:$I,Reference!$A26,Outputs!$J:$J,MOD(S$24,$C26)),".")</f>
        <v>1</v>
      </c>
      <c r="T26" s="2">
        <f>IF($C26&gt;0,COUNTIFS(Outputs!$I:$I,Reference!$A26,Outputs!$J:$J,MOD(T$24,$C26)),".")</f>
        <v>1</v>
      </c>
      <c r="U26" s="2">
        <f>IF($C26&gt;0,COUNTIFS(Outputs!$I:$I,Reference!$A26,Outputs!$J:$J,MOD(U$24,$C26)),".")</f>
        <v>1</v>
      </c>
      <c r="V26" s="2">
        <f>IF($C26&gt;0,COUNTIFS(Outputs!$I:$I,Reference!$A26,Outputs!$J:$J,MOD(V$24,$C26)),".")</f>
        <v>1</v>
      </c>
      <c r="W26" s="2">
        <f>IF($C26&gt;0,COUNTIFS(Outputs!$I:$I,Reference!$A26,Outputs!$J:$J,MOD(W$24,$C26)),".")</f>
        <v>1</v>
      </c>
      <c r="X26" s="2">
        <f>IF($C26&gt;0,COUNTIFS(Outputs!$I:$I,Reference!$A26,Outputs!$J:$J,MOD(X$24,$C26)),".")</f>
        <v>1</v>
      </c>
      <c r="Y26" s="2">
        <f>IF($C26&gt;0,COUNTIFS(Outputs!$I:$I,Reference!$A26,Outputs!$J:$J,MOD(Y$24,$C26)),".")</f>
        <v>1</v>
      </c>
    </row>
    <row r="27" spans="1:25" hidden="1">
      <c r="A27" s="2">
        <v>2</v>
      </c>
      <c r="B27" s="4">
        <v>1</v>
      </c>
      <c r="C27" s="4">
        <f>INT(B27/Summary!$E$4)</f>
        <v>2</v>
      </c>
      <c r="F27" s="2">
        <f>IF($C27&gt;0,COUNTIFS(Outputs!$I:$I,Reference!$A27,Outputs!$J:$J,MOD(F$24,$C27)),".")</f>
        <v>0</v>
      </c>
      <c r="G27" s="2">
        <f>IF($C27&gt;0,COUNTIFS(Outputs!$I:$I,Reference!$A27,Outputs!$J:$J,MOD(G$24,$C27)),".")</f>
        <v>0</v>
      </c>
      <c r="H27" s="2">
        <f>IF($C27&gt;0,COUNTIFS(Outputs!$I:$I,Reference!$A27,Outputs!$J:$J,MOD(H$24,$C27)),".")</f>
        <v>0</v>
      </c>
      <c r="I27" s="2">
        <f>IF($C27&gt;0,COUNTIFS(Outputs!$I:$I,Reference!$A27,Outputs!$J:$J,MOD(I$24,$C27)),".")</f>
        <v>0</v>
      </c>
      <c r="J27" s="2">
        <f>IF($C27&gt;0,COUNTIFS(Outputs!$I:$I,Reference!$A27,Outputs!$J:$J,MOD(J$24,$C27)),".")</f>
        <v>0</v>
      </c>
      <c r="K27" s="2">
        <f>IF($C27&gt;0,COUNTIFS(Outputs!$I:$I,Reference!$A27,Outputs!$J:$J,MOD(K$24,$C27)),".")</f>
        <v>0</v>
      </c>
      <c r="L27" s="2">
        <f>IF($C27&gt;0,COUNTIFS(Outputs!$I:$I,Reference!$A27,Outputs!$J:$J,MOD(L$24,$C27)),".")</f>
        <v>0</v>
      </c>
      <c r="M27" s="2">
        <f>IF($C27&gt;0,COUNTIFS(Outputs!$I:$I,Reference!$A27,Outputs!$J:$J,MOD(M$24,$C27)),".")</f>
        <v>0</v>
      </c>
      <c r="N27" s="2">
        <f>IF($C27&gt;0,COUNTIFS(Outputs!$I:$I,Reference!$A27,Outputs!$J:$J,MOD(N$24,$C27)),".")</f>
        <v>0</v>
      </c>
      <c r="O27" s="2">
        <f>IF($C27&gt;0,COUNTIFS(Outputs!$I:$I,Reference!$A27,Outputs!$J:$J,MOD(O$24,$C27)),".")</f>
        <v>0</v>
      </c>
      <c r="P27" s="2">
        <f>IF($C27&gt;0,COUNTIFS(Outputs!$I:$I,Reference!$A27,Outputs!$J:$J,MOD(P$24,$C27)),".")</f>
        <v>0</v>
      </c>
      <c r="Q27" s="2">
        <f>IF($C27&gt;0,COUNTIFS(Outputs!$I:$I,Reference!$A27,Outputs!$J:$J,MOD(Q$24,$C27)),".")</f>
        <v>0</v>
      </c>
      <c r="R27" s="2">
        <f>IF($C27&gt;0,COUNTIFS(Outputs!$I:$I,Reference!$A27,Outputs!$J:$J,MOD(R$24,$C27)),".")</f>
        <v>0</v>
      </c>
      <c r="S27" s="2">
        <f>IF($C27&gt;0,COUNTIFS(Outputs!$I:$I,Reference!$A27,Outputs!$J:$J,MOD(S$24,$C27)),".")</f>
        <v>0</v>
      </c>
      <c r="T27" s="2">
        <f>IF($C27&gt;0,COUNTIFS(Outputs!$I:$I,Reference!$A27,Outputs!$J:$J,MOD(T$24,$C27)),".")</f>
        <v>0</v>
      </c>
      <c r="U27" s="2">
        <f>IF($C27&gt;0,COUNTIFS(Outputs!$I:$I,Reference!$A27,Outputs!$J:$J,MOD(U$24,$C27)),".")</f>
        <v>0</v>
      </c>
      <c r="V27" s="2">
        <f>IF($C27&gt;0,COUNTIFS(Outputs!$I:$I,Reference!$A27,Outputs!$J:$J,MOD(V$24,$C27)),".")</f>
        <v>0</v>
      </c>
      <c r="W27" s="2">
        <f>IF($C27&gt;0,COUNTIFS(Outputs!$I:$I,Reference!$A27,Outputs!$J:$J,MOD(W$24,$C27)),".")</f>
        <v>0</v>
      </c>
      <c r="X27" s="2">
        <f>IF($C27&gt;0,COUNTIFS(Outputs!$I:$I,Reference!$A27,Outputs!$J:$J,MOD(X$24,$C27)),".")</f>
        <v>0</v>
      </c>
      <c r="Y27" s="2">
        <f>IF($C27&gt;0,COUNTIFS(Outputs!$I:$I,Reference!$A27,Outputs!$J:$J,MOD(Y$24,$C27)),".")</f>
        <v>0</v>
      </c>
    </row>
    <row r="28" spans="1:25" hidden="1">
      <c r="A28" s="2">
        <v>3</v>
      </c>
      <c r="B28" s="4">
        <v>2</v>
      </c>
      <c r="C28" s="4">
        <f>INT(B28/Summary!$E$4)</f>
        <v>4</v>
      </c>
      <c r="F28" s="2">
        <f>IF($C28&gt;0,COUNTIFS(Outputs!$I:$I,Reference!$A28,Outputs!$J:$J,MOD(F$24,$C28)),".")</f>
        <v>0</v>
      </c>
      <c r="G28" s="2">
        <f>IF($C28&gt;0,COUNTIFS(Outputs!$I:$I,Reference!$A28,Outputs!$J:$J,MOD(G$24,$C28)),".")</f>
        <v>0</v>
      </c>
      <c r="H28" s="2">
        <f>IF($C28&gt;0,COUNTIFS(Outputs!$I:$I,Reference!$A28,Outputs!$J:$J,MOD(H$24,$C28)),".")</f>
        <v>0</v>
      </c>
      <c r="I28" s="2">
        <f>IF($C28&gt;0,COUNTIFS(Outputs!$I:$I,Reference!$A28,Outputs!$J:$J,MOD(I$24,$C28)),".")</f>
        <v>0</v>
      </c>
      <c r="J28" s="2">
        <f>IF($C28&gt;0,COUNTIFS(Outputs!$I:$I,Reference!$A28,Outputs!$J:$J,MOD(J$24,$C28)),".")</f>
        <v>0</v>
      </c>
      <c r="K28" s="2">
        <f>IF($C28&gt;0,COUNTIFS(Outputs!$I:$I,Reference!$A28,Outputs!$J:$J,MOD(K$24,$C28)),".")</f>
        <v>0</v>
      </c>
      <c r="L28" s="2">
        <f>IF($C28&gt;0,COUNTIFS(Outputs!$I:$I,Reference!$A28,Outputs!$J:$J,MOD(L$24,$C28)),".")</f>
        <v>0</v>
      </c>
      <c r="M28" s="2">
        <f>IF($C28&gt;0,COUNTIFS(Outputs!$I:$I,Reference!$A28,Outputs!$J:$J,MOD(M$24,$C28)),".")</f>
        <v>0</v>
      </c>
      <c r="N28" s="2">
        <f>IF($C28&gt;0,COUNTIFS(Outputs!$I:$I,Reference!$A28,Outputs!$J:$J,MOD(N$24,$C28)),".")</f>
        <v>0</v>
      </c>
      <c r="O28" s="2">
        <f>IF($C28&gt;0,COUNTIFS(Outputs!$I:$I,Reference!$A28,Outputs!$J:$J,MOD(O$24,$C28)),".")</f>
        <v>0</v>
      </c>
      <c r="P28" s="2">
        <f>IF($C28&gt;0,COUNTIFS(Outputs!$I:$I,Reference!$A28,Outputs!$J:$J,MOD(P$24,$C28)),".")</f>
        <v>0</v>
      </c>
      <c r="Q28" s="2">
        <f>IF($C28&gt;0,COUNTIFS(Outputs!$I:$I,Reference!$A28,Outputs!$J:$J,MOD(Q$24,$C28)),".")</f>
        <v>0</v>
      </c>
      <c r="R28" s="2">
        <f>IF($C28&gt;0,COUNTIFS(Outputs!$I:$I,Reference!$A28,Outputs!$J:$J,MOD(R$24,$C28)),".")</f>
        <v>0</v>
      </c>
      <c r="S28" s="2">
        <f>IF($C28&gt;0,COUNTIFS(Outputs!$I:$I,Reference!$A28,Outputs!$J:$J,MOD(S$24,$C28)),".")</f>
        <v>0</v>
      </c>
      <c r="T28" s="2">
        <f>IF($C28&gt;0,COUNTIFS(Outputs!$I:$I,Reference!$A28,Outputs!$J:$J,MOD(T$24,$C28)),".")</f>
        <v>0</v>
      </c>
      <c r="U28" s="2">
        <f>IF($C28&gt;0,COUNTIFS(Outputs!$I:$I,Reference!$A28,Outputs!$J:$J,MOD(U$24,$C28)),".")</f>
        <v>0</v>
      </c>
      <c r="V28" s="2">
        <f>IF($C28&gt;0,COUNTIFS(Outputs!$I:$I,Reference!$A28,Outputs!$J:$J,MOD(V$24,$C28)),".")</f>
        <v>0</v>
      </c>
      <c r="W28" s="2">
        <f>IF($C28&gt;0,COUNTIFS(Outputs!$I:$I,Reference!$A28,Outputs!$J:$J,MOD(W$24,$C28)),".")</f>
        <v>0</v>
      </c>
      <c r="X28" s="2">
        <f>IF($C28&gt;0,COUNTIFS(Outputs!$I:$I,Reference!$A28,Outputs!$J:$J,MOD(X$24,$C28)),".")</f>
        <v>0</v>
      </c>
      <c r="Y28" s="2">
        <f>IF($C28&gt;0,COUNTIFS(Outputs!$I:$I,Reference!$A28,Outputs!$J:$J,MOD(Y$24,$C28)),".")</f>
        <v>0</v>
      </c>
    </row>
    <row r="29" spans="1:25" hidden="1">
      <c r="A29" s="2">
        <v>4</v>
      </c>
      <c r="B29" s="4">
        <v>10</v>
      </c>
      <c r="C29" s="4">
        <f>INT(B29/Summary!$E$4)</f>
        <v>20</v>
      </c>
      <c r="F29" s="2">
        <f>IF($C29&gt;0,COUNTIFS(Outputs!$I:$I,Reference!$A29,Outputs!$J:$J,MOD(F$24,$C29)),".")</f>
        <v>0</v>
      </c>
      <c r="G29" s="2">
        <f>IF($C29&gt;0,COUNTIFS(Outputs!$I:$I,Reference!$A29,Outputs!$J:$J,MOD(G$24,$C29)),".")</f>
        <v>0</v>
      </c>
      <c r="H29" s="2">
        <f>IF($C29&gt;0,COUNTIFS(Outputs!$I:$I,Reference!$A29,Outputs!$J:$J,MOD(H$24,$C29)),".")</f>
        <v>0</v>
      </c>
      <c r="I29" s="2">
        <f>IF($C29&gt;0,COUNTIFS(Outputs!$I:$I,Reference!$A29,Outputs!$J:$J,MOD(I$24,$C29)),".")</f>
        <v>0</v>
      </c>
      <c r="J29" s="2">
        <f>IF($C29&gt;0,COUNTIFS(Outputs!$I:$I,Reference!$A29,Outputs!$J:$J,MOD(J$24,$C29)),".")</f>
        <v>0</v>
      </c>
      <c r="K29" s="2">
        <f>IF($C29&gt;0,COUNTIFS(Outputs!$I:$I,Reference!$A29,Outputs!$J:$J,MOD(K$24,$C29)),".")</f>
        <v>0</v>
      </c>
      <c r="L29" s="2">
        <f>IF($C29&gt;0,COUNTIFS(Outputs!$I:$I,Reference!$A29,Outputs!$J:$J,MOD(L$24,$C29)),".")</f>
        <v>0</v>
      </c>
      <c r="M29" s="2">
        <f>IF($C29&gt;0,COUNTIFS(Outputs!$I:$I,Reference!$A29,Outputs!$J:$J,MOD(M$24,$C29)),".")</f>
        <v>0</v>
      </c>
      <c r="N29" s="2">
        <f>IF($C29&gt;0,COUNTIFS(Outputs!$I:$I,Reference!$A29,Outputs!$J:$J,MOD(N$24,$C29)),".")</f>
        <v>0</v>
      </c>
      <c r="O29" s="2">
        <f>IF($C29&gt;0,COUNTIFS(Outputs!$I:$I,Reference!$A29,Outputs!$J:$J,MOD(O$24,$C29)),".")</f>
        <v>0</v>
      </c>
      <c r="P29" s="2">
        <f>IF($C29&gt;0,COUNTIFS(Outputs!$I:$I,Reference!$A29,Outputs!$J:$J,MOD(P$24,$C29)),".")</f>
        <v>0</v>
      </c>
      <c r="Q29" s="2">
        <f>IF($C29&gt;0,COUNTIFS(Outputs!$I:$I,Reference!$A29,Outputs!$J:$J,MOD(Q$24,$C29)),".")</f>
        <v>0</v>
      </c>
      <c r="R29" s="2">
        <f>IF($C29&gt;0,COUNTIFS(Outputs!$I:$I,Reference!$A29,Outputs!$J:$J,MOD(R$24,$C29)),".")</f>
        <v>0</v>
      </c>
      <c r="S29" s="2">
        <f>IF($C29&gt;0,COUNTIFS(Outputs!$I:$I,Reference!$A29,Outputs!$J:$J,MOD(S$24,$C29)),".")</f>
        <v>0</v>
      </c>
      <c r="T29" s="2">
        <f>IF($C29&gt;0,COUNTIFS(Outputs!$I:$I,Reference!$A29,Outputs!$J:$J,MOD(T$24,$C29)),".")</f>
        <v>0</v>
      </c>
      <c r="U29" s="2">
        <f>IF($C29&gt;0,COUNTIFS(Outputs!$I:$I,Reference!$A29,Outputs!$J:$J,MOD(U$24,$C29)),".")</f>
        <v>0</v>
      </c>
      <c r="V29" s="2">
        <f>IF($C29&gt;0,COUNTIFS(Outputs!$I:$I,Reference!$A29,Outputs!$J:$J,MOD(V$24,$C29)),".")</f>
        <v>0</v>
      </c>
      <c r="W29" s="2">
        <f>IF($C29&gt;0,COUNTIFS(Outputs!$I:$I,Reference!$A29,Outputs!$J:$J,MOD(W$24,$C29)),".")</f>
        <v>0</v>
      </c>
      <c r="X29" s="2">
        <f>IF($C29&gt;0,COUNTIFS(Outputs!$I:$I,Reference!$A29,Outputs!$J:$J,MOD(X$24,$C29)),".")</f>
        <v>0</v>
      </c>
      <c r="Y29" s="2">
        <f>IF($C29&gt;0,COUNTIFS(Outputs!$I:$I,Reference!$A29,Outputs!$J:$J,MOD(Y$24,$C29)),".")</f>
        <v>0</v>
      </c>
    </row>
    <row r="30" spans="1:25" hidden="1">
      <c r="A30" s="2">
        <v>5</v>
      </c>
      <c r="B30" s="4">
        <v>30</v>
      </c>
      <c r="C30" s="4">
        <f>INT(B30/Summary!$E$4)</f>
        <v>60</v>
      </c>
      <c r="F30" s="2">
        <f>IF($C30&gt;0,COUNTIFS(Outputs!$I:$I,Reference!$A30,Outputs!$J:$J,MOD(F$24,$C30)),".")</f>
        <v>0</v>
      </c>
      <c r="G30" s="2">
        <f>IF($C30&gt;0,COUNTIFS(Outputs!$I:$I,Reference!$A30,Outputs!$J:$J,MOD(G$24,$C30)),".")</f>
        <v>0</v>
      </c>
      <c r="H30" s="2">
        <f>IF($C30&gt;0,COUNTIFS(Outputs!$I:$I,Reference!$A30,Outputs!$J:$J,MOD(H$24,$C30)),".")</f>
        <v>0</v>
      </c>
      <c r="I30" s="2">
        <f>IF($C30&gt;0,COUNTIFS(Outputs!$I:$I,Reference!$A30,Outputs!$J:$J,MOD(I$24,$C30)),".")</f>
        <v>0</v>
      </c>
      <c r="J30" s="2">
        <f>IF($C30&gt;0,COUNTIFS(Outputs!$I:$I,Reference!$A30,Outputs!$J:$J,MOD(J$24,$C30)),".")</f>
        <v>0</v>
      </c>
      <c r="K30" s="2">
        <f>IF($C30&gt;0,COUNTIFS(Outputs!$I:$I,Reference!$A30,Outputs!$J:$J,MOD(K$24,$C30)),".")</f>
        <v>0</v>
      </c>
      <c r="L30" s="2">
        <f>IF($C30&gt;0,COUNTIFS(Outputs!$I:$I,Reference!$A30,Outputs!$J:$J,MOD(L$24,$C30)),".")</f>
        <v>0</v>
      </c>
      <c r="M30" s="2">
        <f>IF($C30&gt;0,COUNTIFS(Outputs!$I:$I,Reference!$A30,Outputs!$J:$J,MOD(M$24,$C30)),".")</f>
        <v>0</v>
      </c>
      <c r="N30" s="2">
        <f>IF($C30&gt;0,COUNTIFS(Outputs!$I:$I,Reference!$A30,Outputs!$J:$J,MOD(N$24,$C30)),".")</f>
        <v>0</v>
      </c>
      <c r="O30" s="2">
        <f>IF($C30&gt;0,COUNTIFS(Outputs!$I:$I,Reference!$A30,Outputs!$J:$J,MOD(O$24,$C30)),".")</f>
        <v>0</v>
      </c>
      <c r="P30" s="2">
        <f>IF($C30&gt;0,COUNTIFS(Outputs!$I:$I,Reference!$A30,Outputs!$J:$J,MOD(P$24,$C30)),".")</f>
        <v>0</v>
      </c>
      <c r="Q30" s="2">
        <f>IF($C30&gt;0,COUNTIFS(Outputs!$I:$I,Reference!$A30,Outputs!$J:$J,MOD(Q$24,$C30)),".")</f>
        <v>0</v>
      </c>
      <c r="R30" s="2">
        <f>IF($C30&gt;0,COUNTIFS(Outputs!$I:$I,Reference!$A30,Outputs!$J:$J,MOD(R$24,$C30)),".")</f>
        <v>0</v>
      </c>
      <c r="S30" s="2">
        <f>IF($C30&gt;0,COUNTIFS(Outputs!$I:$I,Reference!$A30,Outputs!$J:$J,MOD(S$24,$C30)),".")</f>
        <v>0</v>
      </c>
      <c r="T30" s="2">
        <f>IF($C30&gt;0,COUNTIFS(Outputs!$I:$I,Reference!$A30,Outputs!$J:$J,MOD(T$24,$C30)),".")</f>
        <v>0</v>
      </c>
      <c r="U30" s="2">
        <f>IF($C30&gt;0,COUNTIFS(Outputs!$I:$I,Reference!$A30,Outputs!$J:$J,MOD(U$24,$C30)),".")</f>
        <v>0</v>
      </c>
      <c r="V30" s="2">
        <f>IF($C30&gt;0,COUNTIFS(Outputs!$I:$I,Reference!$A30,Outputs!$J:$J,MOD(V$24,$C30)),".")</f>
        <v>0</v>
      </c>
      <c r="W30" s="2">
        <f>IF($C30&gt;0,COUNTIFS(Outputs!$I:$I,Reference!$A30,Outputs!$J:$J,MOD(W$24,$C30)),".")</f>
        <v>0</v>
      </c>
      <c r="X30" s="2">
        <f>IF($C30&gt;0,COUNTIFS(Outputs!$I:$I,Reference!$A30,Outputs!$J:$J,MOD(X$24,$C30)),".")</f>
        <v>0</v>
      </c>
      <c r="Y30" s="2">
        <f>IF($C30&gt;0,COUNTIFS(Outputs!$I:$I,Reference!$A30,Outputs!$J:$J,MOD(Y$24,$C30)),".")</f>
        <v>0</v>
      </c>
    </row>
    <row r="31" spans="1:25" hidden="1">
      <c r="A31" s="2">
        <v>6</v>
      </c>
      <c r="B31" s="4">
        <v>60</v>
      </c>
      <c r="C31" s="4">
        <f>INT(B31/Summary!$E$4)</f>
        <v>120</v>
      </c>
      <c r="F31" s="2">
        <f>IF($C31&gt;0,COUNTIFS(Outputs!$I:$I,Reference!$A31,Outputs!$J:$J,MOD(F$24,$C31)),".")</f>
        <v>0</v>
      </c>
      <c r="G31" s="2">
        <f>IF($C31&gt;0,COUNTIFS(Outputs!$I:$I,Reference!$A31,Outputs!$J:$J,MOD(G$24,$C31)),".")</f>
        <v>0</v>
      </c>
      <c r="H31" s="2">
        <f>IF($C31&gt;0,COUNTIFS(Outputs!$I:$I,Reference!$A31,Outputs!$J:$J,MOD(H$24,$C31)),".")</f>
        <v>0</v>
      </c>
      <c r="I31" s="2">
        <f>IF($C31&gt;0,COUNTIFS(Outputs!$I:$I,Reference!$A31,Outputs!$J:$J,MOD(I$24,$C31)),".")</f>
        <v>0</v>
      </c>
      <c r="J31" s="2">
        <f>IF($C31&gt;0,COUNTIFS(Outputs!$I:$I,Reference!$A31,Outputs!$J:$J,MOD(J$24,$C31)),".")</f>
        <v>0</v>
      </c>
      <c r="K31" s="2">
        <f>IF($C31&gt;0,COUNTIFS(Outputs!$I:$I,Reference!$A31,Outputs!$J:$J,MOD(K$24,$C31)),".")</f>
        <v>0</v>
      </c>
      <c r="L31" s="2">
        <f>IF($C31&gt;0,COUNTIFS(Outputs!$I:$I,Reference!$A31,Outputs!$J:$J,MOD(L$24,$C31)),".")</f>
        <v>0</v>
      </c>
      <c r="M31" s="2">
        <f>IF($C31&gt;0,COUNTIFS(Outputs!$I:$I,Reference!$A31,Outputs!$J:$J,MOD(M$24,$C31)),".")</f>
        <v>0</v>
      </c>
      <c r="N31" s="2">
        <f>IF($C31&gt;0,COUNTIFS(Outputs!$I:$I,Reference!$A31,Outputs!$J:$J,MOD(N$24,$C31)),".")</f>
        <v>0</v>
      </c>
      <c r="O31" s="2">
        <f>IF($C31&gt;0,COUNTIFS(Outputs!$I:$I,Reference!$A31,Outputs!$J:$J,MOD(O$24,$C31)),".")</f>
        <v>0</v>
      </c>
      <c r="P31" s="2">
        <f>IF($C31&gt;0,COUNTIFS(Outputs!$I:$I,Reference!$A31,Outputs!$J:$J,MOD(P$24,$C31)),".")</f>
        <v>0</v>
      </c>
      <c r="Q31" s="2">
        <f>IF($C31&gt;0,COUNTIFS(Outputs!$I:$I,Reference!$A31,Outputs!$J:$J,MOD(Q$24,$C31)),".")</f>
        <v>0</v>
      </c>
      <c r="R31" s="2">
        <f>IF($C31&gt;0,COUNTIFS(Outputs!$I:$I,Reference!$A31,Outputs!$J:$J,MOD(R$24,$C31)),".")</f>
        <v>0</v>
      </c>
      <c r="S31" s="2">
        <f>IF($C31&gt;0,COUNTIFS(Outputs!$I:$I,Reference!$A31,Outputs!$J:$J,MOD(S$24,$C31)),".")</f>
        <v>0</v>
      </c>
      <c r="T31" s="2">
        <f>IF($C31&gt;0,COUNTIFS(Outputs!$I:$I,Reference!$A31,Outputs!$J:$J,MOD(T$24,$C31)),".")</f>
        <v>0</v>
      </c>
      <c r="U31" s="2">
        <f>IF($C31&gt;0,COUNTIFS(Outputs!$I:$I,Reference!$A31,Outputs!$J:$J,MOD(U$24,$C31)),".")</f>
        <v>0</v>
      </c>
      <c r="V31" s="2">
        <f>IF($C31&gt;0,COUNTIFS(Outputs!$I:$I,Reference!$A31,Outputs!$J:$J,MOD(V$24,$C31)),".")</f>
        <v>0</v>
      </c>
      <c r="W31" s="2">
        <f>IF($C31&gt;0,COUNTIFS(Outputs!$I:$I,Reference!$A31,Outputs!$J:$J,MOD(W$24,$C31)),".")</f>
        <v>0</v>
      </c>
      <c r="X31" s="2">
        <f>IF($C31&gt;0,COUNTIFS(Outputs!$I:$I,Reference!$A31,Outputs!$J:$J,MOD(X$24,$C31)),".")</f>
        <v>0</v>
      </c>
      <c r="Y31" s="2">
        <f>IF($C31&gt;0,COUNTIFS(Outputs!$I:$I,Reference!$A31,Outputs!$J:$J,MOD(Y$24,$C31)),".")</f>
        <v>0</v>
      </c>
    </row>
    <row r="32" spans="1:25" hidden="1">
      <c r="A32" s="2">
        <v>7</v>
      </c>
      <c r="B32" s="4">
        <v>600</v>
      </c>
      <c r="C32" s="4">
        <f>INT(B32/Summary!$E$4)</f>
        <v>1200</v>
      </c>
      <c r="F32" s="2">
        <f>IF($C32&gt;0,COUNTIFS(Outputs!$I:$I,Reference!$A32,Outputs!$J:$J,MOD(F$24,$C32)),".")</f>
        <v>0</v>
      </c>
      <c r="G32" s="2">
        <f>IF($C32&gt;0,COUNTIFS(Outputs!$I:$I,Reference!$A32,Outputs!$J:$J,MOD(G$24,$C32)),".")</f>
        <v>0</v>
      </c>
      <c r="H32" s="2">
        <f>IF($C32&gt;0,COUNTIFS(Outputs!$I:$I,Reference!$A32,Outputs!$J:$J,MOD(H$24,$C32)),".")</f>
        <v>0</v>
      </c>
      <c r="I32" s="2">
        <f>IF($C32&gt;0,COUNTIFS(Outputs!$I:$I,Reference!$A32,Outputs!$J:$J,MOD(I$24,$C32)),".")</f>
        <v>0</v>
      </c>
      <c r="J32" s="2">
        <f>IF($C32&gt;0,COUNTIFS(Outputs!$I:$I,Reference!$A32,Outputs!$J:$J,MOD(J$24,$C32)),".")</f>
        <v>0</v>
      </c>
      <c r="K32" s="2">
        <f>IF($C32&gt;0,COUNTIFS(Outputs!$I:$I,Reference!$A32,Outputs!$J:$J,MOD(K$24,$C32)),".")</f>
        <v>0</v>
      </c>
      <c r="L32" s="2">
        <f>IF($C32&gt;0,COUNTIFS(Outputs!$I:$I,Reference!$A32,Outputs!$J:$J,MOD(L$24,$C32)),".")</f>
        <v>0</v>
      </c>
      <c r="M32" s="2">
        <f>IF($C32&gt;0,COUNTIFS(Outputs!$I:$I,Reference!$A32,Outputs!$J:$J,MOD(M$24,$C32)),".")</f>
        <v>0</v>
      </c>
      <c r="N32" s="2">
        <f>IF($C32&gt;0,COUNTIFS(Outputs!$I:$I,Reference!$A32,Outputs!$J:$J,MOD(N$24,$C32)),".")</f>
        <v>0</v>
      </c>
      <c r="O32" s="2">
        <f>IF($C32&gt;0,COUNTIFS(Outputs!$I:$I,Reference!$A32,Outputs!$J:$J,MOD(O$24,$C32)),".")</f>
        <v>0</v>
      </c>
      <c r="P32" s="2">
        <f>IF($C32&gt;0,COUNTIFS(Outputs!$I:$I,Reference!$A32,Outputs!$J:$J,MOD(P$24,$C32)),".")</f>
        <v>0</v>
      </c>
      <c r="Q32" s="2">
        <f>IF($C32&gt;0,COUNTIFS(Outputs!$I:$I,Reference!$A32,Outputs!$J:$J,MOD(Q$24,$C32)),".")</f>
        <v>0</v>
      </c>
      <c r="R32" s="2">
        <f>IF($C32&gt;0,COUNTIFS(Outputs!$I:$I,Reference!$A32,Outputs!$J:$J,MOD(R$24,$C32)),".")</f>
        <v>0</v>
      </c>
      <c r="S32" s="2">
        <f>IF($C32&gt;0,COUNTIFS(Outputs!$I:$I,Reference!$A32,Outputs!$J:$J,MOD(S$24,$C32)),".")</f>
        <v>0</v>
      </c>
      <c r="T32" s="2">
        <f>IF($C32&gt;0,COUNTIFS(Outputs!$I:$I,Reference!$A32,Outputs!$J:$J,MOD(T$24,$C32)),".")</f>
        <v>0</v>
      </c>
      <c r="U32" s="2">
        <f>IF($C32&gt;0,COUNTIFS(Outputs!$I:$I,Reference!$A32,Outputs!$J:$J,MOD(U$24,$C32)),".")</f>
        <v>0</v>
      </c>
      <c r="V32" s="2">
        <f>IF($C32&gt;0,COUNTIFS(Outputs!$I:$I,Reference!$A32,Outputs!$J:$J,MOD(V$24,$C32)),".")</f>
        <v>0</v>
      </c>
      <c r="W32" s="2">
        <f>IF($C32&gt;0,COUNTIFS(Outputs!$I:$I,Reference!$A32,Outputs!$J:$J,MOD(W$24,$C32)),".")</f>
        <v>0</v>
      </c>
      <c r="X32" s="2">
        <f>IF($C32&gt;0,COUNTIFS(Outputs!$I:$I,Reference!$A32,Outputs!$J:$J,MOD(X$24,$C32)),".")</f>
        <v>0</v>
      </c>
      <c r="Y32" s="2">
        <f>IF($C32&gt;0,COUNTIFS(Outputs!$I:$I,Reference!$A32,Outputs!$J:$J,MOD(Y$24,$C32)),".")</f>
        <v>0</v>
      </c>
    </row>
    <row r="33" spans="1:25" hidden="1">
      <c r="A33" s="2">
        <v>8</v>
      </c>
      <c r="B33" s="4">
        <v>3600</v>
      </c>
      <c r="C33" s="4">
        <f>INT(B33/Summary!$E$4)</f>
        <v>7200</v>
      </c>
      <c r="F33" s="2">
        <f>IF($C33&gt;0,COUNTIFS(Outputs!$I:$I,Reference!$A33,Outputs!$J:$J,MOD(F$24,$C33)),".")</f>
        <v>0</v>
      </c>
      <c r="G33" s="2">
        <f>IF($C33&gt;0,COUNTIFS(Outputs!$I:$I,Reference!$A33,Outputs!$J:$J,MOD(G$24,$C33)),".")</f>
        <v>0</v>
      </c>
      <c r="H33" s="2">
        <f>IF($C33&gt;0,COUNTIFS(Outputs!$I:$I,Reference!$A33,Outputs!$J:$J,MOD(H$24,$C33)),".")</f>
        <v>0</v>
      </c>
      <c r="I33" s="2">
        <f>IF($C33&gt;0,COUNTIFS(Outputs!$I:$I,Reference!$A33,Outputs!$J:$J,MOD(I$24,$C33)),".")</f>
        <v>0</v>
      </c>
      <c r="J33" s="2">
        <f>IF($C33&gt;0,COUNTIFS(Outputs!$I:$I,Reference!$A33,Outputs!$J:$J,MOD(J$24,$C33)),".")</f>
        <v>0</v>
      </c>
      <c r="K33" s="2">
        <f>IF($C33&gt;0,COUNTIFS(Outputs!$I:$I,Reference!$A33,Outputs!$J:$J,MOD(K$24,$C33)),".")</f>
        <v>0</v>
      </c>
      <c r="L33" s="2">
        <f>IF($C33&gt;0,COUNTIFS(Outputs!$I:$I,Reference!$A33,Outputs!$J:$J,MOD(L$24,$C33)),".")</f>
        <v>0</v>
      </c>
      <c r="M33" s="2">
        <f>IF($C33&gt;0,COUNTIFS(Outputs!$I:$I,Reference!$A33,Outputs!$J:$J,MOD(M$24,$C33)),".")</f>
        <v>0</v>
      </c>
      <c r="N33" s="2">
        <f>IF($C33&gt;0,COUNTIFS(Outputs!$I:$I,Reference!$A33,Outputs!$J:$J,MOD(N$24,$C33)),".")</f>
        <v>0</v>
      </c>
      <c r="O33" s="2">
        <f>IF($C33&gt;0,COUNTIFS(Outputs!$I:$I,Reference!$A33,Outputs!$J:$J,MOD(O$24,$C33)),".")</f>
        <v>0</v>
      </c>
      <c r="P33" s="2">
        <f>IF($C33&gt;0,COUNTIFS(Outputs!$I:$I,Reference!$A33,Outputs!$J:$J,MOD(P$24,$C33)),".")</f>
        <v>0</v>
      </c>
      <c r="Q33" s="2">
        <f>IF($C33&gt;0,COUNTIFS(Outputs!$I:$I,Reference!$A33,Outputs!$J:$J,MOD(Q$24,$C33)),".")</f>
        <v>0</v>
      </c>
      <c r="R33" s="2">
        <f>IF($C33&gt;0,COUNTIFS(Outputs!$I:$I,Reference!$A33,Outputs!$J:$J,MOD(R$24,$C33)),".")</f>
        <v>0</v>
      </c>
      <c r="S33" s="2">
        <f>IF($C33&gt;0,COUNTIFS(Outputs!$I:$I,Reference!$A33,Outputs!$J:$J,MOD(S$24,$C33)),".")</f>
        <v>0</v>
      </c>
      <c r="T33" s="2">
        <f>IF($C33&gt;0,COUNTIFS(Outputs!$I:$I,Reference!$A33,Outputs!$J:$J,MOD(T$24,$C33)),".")</f>
        <v>0</v>
      </c>
      <c r="U33" s="2">
        <f>IF($C33&gt;0,COUNTIFS(Outputs!$I:$I,Reference!$A33,Outputs!$J:$J,MOD(U$24,$C33)),".")</f>
        <v>0</v>
      </c>
      <c r="V33" s="2">
        <f>IF($C33&gt;0,COUNTIFS(Outputs!$I:$I,Reference!$A33,Outputs!$J:$J,MOD(V$24,$C33)),".")</f>
        <v>0</v>
      </c>
      <c r="W33" s="2">
        <f>IF($C33&gt;0,COUNTIFS(Outputs!$I:$I,Reference!$A33,Outputs!$J:$J,MOD(W$24,$C33)),".")</f>
        <v>0</v>
      </c>
      <c r="X33" s="2">
        <f>IF($C33&gt;0,COUNTIFS(Outputs!$I:$I,Reference!$A33,Outputs!$J:$J,MOD(X$24,$C33)),".")</f>
        <v>0</v>
      </c>
      <c r="Y33" s="2">
        <f>IF($C33&gt;0,COUNTIFS(Outputs!$I:$I,Reference!$A33,Outputs!$J:$J,MOD(Y$24,$C33)),".")</f>
        <v>0</v>
      </c>
    </row>
    <row r="34" spans="1:25" hidden="1">
      <c r="A34" s="2">
        <v>9</v>
      </c>
      <c r="B34" s="4">
        <v>0.2</v>
      </c>
      <c r="C34" s="4">
        <f>INT(B34/Summary!$E$4)</f>
        <v>0</v>
      </c>
      <c r="F34" s="2" t="str">
        <f>IF($C34&gt;0,COUNTIFS(Outputs!$I:$I,Reference!$A34,Outputs!$J:$J,MOD(F$24,$C34)),".")</f>
        <v>.</v>
      </c>
      <c r="G34" s="2" t="str">
        <f>IF($C34&gt;0,COUNTIFS(Outputs!$I:$I,Reference!$A34,Outputs!$J:$J,MOD(G$24,$C34)),".")</f>
        <v>.</v>
      </c>
      <c r="H34" s="2" t="str">
        <f>IF($C34&gt;0,COUNTIFS(Outputs!$I:$I,Reference!$A34,Outputs!$J:$J,MOD(H$24,$C34)),".")</f>
        <v>.</v>
      </c>
      <c r="I34" s="2" t="str">
        <f>IF($C34&gt;0,COUNTIFS(Outputs!$I:$I,Reference!$A34,Outputs!$J:$J,MOD(I$24,$C34)),".")</f>
        <v>.</v>
      </c>
      <c r="J34" s="2" t="str">
        <f>IF($C34&gt;0,COUNTIFS(Outputs!$I:$I,Reference!$A34,Outputs!$J:$J,MOD(J$24,$C34)),".")</f>
        <v>.</v>
      </c>
      <c r="K34" s="2" t="str">
        <f>IF($C34&gt;0,COUNTIFS(Outputs!$I:$I,Reference!$A34,Outputs!$J:$J,MOD(K$24,$C34)),".")</f>
        <v>.</v>
      </c>
      <c r="L34" s="2" t="str">
        <f>IF($C34&gt;0,COUNTIFS(Outputs!$I:$I,Reference!$A34,Outputs!$J:$J,MOD(L$24,$C34)),".")</f>
        <v>.</v>
      </c>
      <c r="M34" s="2" t="str">
        <f>IF($C34&gt;0,COUNTIFS(Outputs!$I:$I,Reference!$A34,Outputs!$J:$J,MOD(M$24,$C34)),".")</f>
        <v>.</v>
      </c>
      <c r="N34" s="2" t="str">
        <f>IF($C34&gt;0,COUNTIFS(Outputs!$I:$I,Reference!$A34,Outputs!$J:$J,MOD(N$24,$C34)),".")</f>
        <v>.</v>
      </c>
      <c r="O34" s="2" t="str">
        <f>IF($C34&gt;0,COUNTIFS(Outputs!$I:$I,Reference!$A34,Outputs!$J:$J,MOD(O$24,$C34)),".")</f>
        <v>.</v>
      </c>
      <c r="P34" s="2" t="str">
        <f>IF($C34&gt;0,COUNTIFS(Outputs!$I:$I,Reference!$A34,Outputs!$J:$J,MOD(P$24,$C34)),".")</f>
        <v>.</v>
      </c>
      <c r="Q34" s="2" t="str">
        <f>IF($C34&gt;0,COUNTIFS(Outputs!$I:$I,Reference!$A34,Outputs!$J:$J,MOD(Q$24,$C34)),".")</f>
        <v>.</v>
      </c>
      <c r="R34" s="2" t="str">
        <f>IF($C34&gt;0,COUNTIFS(Outputs!$I:$I,Reference!$A34,Outputs!$J:$J,MOD(R$24,$C34)),".")</f>
        <v>.</v>
      </c>
      <c r="S34" s="2" t="str">
        <f>IF($C34&gt;0,COUNTIFS(Outputs!$I:$I,Reference!$A34,Outputs!$J:$J,MOD(S$24,$C34)),".")</f>
        <v>.</v>
      </c>
      <c r="T34" s="2" t="str">
        <f>IF($C34&gt;0,COUNTIFS(Outputs!$I:$I,Reference!$A34,Outputs!$J:$J,MOD(T$24,$C34)),".")</f>
        <v>.</v>
      </c>
      <c r="U34" s="2" t="str">
        <f>IF($C34&gt;0,COUNTIFS(Outputs!$I:$I,Reference!$A34,Outputs!$J:$J,MOD(U$24,$C34)),".")</f>
        <v>.</v>
      </c>
      <c r="V34" s="2" t="str">
        <f>IF($C34&gt;0,COUNTIFS(Outputs!$I:$I,Reference!$A34,Outputs!$J:$J,MOD(V$24,$C34)),".")</f>
        <v>.</v>
      </c>
      <c r="W34" s="2" t="str">
        <f>IF($C34&gt;0,COUNTIFS(Outputs!$I:$I,Reference!$A34,Outputs!$J:$J,MOD(W$24,$C34)),".")</f>
        <v>.</v>
      </c>
      <c r="X34" s="2" t="str">
        <f>IF($C34&gt;0,COUNTIFS(Outputs!$I:$I,Reference!$A34,Outputs!$J:$J,MOD(X$24,$C34)),".")</f>
        <v>.</v>
      </c>
      <c r="Y34" s="2" t="str">
        <f>IF($C34&gt;0,COUNTIFS(Outputs!$I:$I,Reference!$A34,Outputs!$J:$J,MOD(Y$24,$C34)),".")</f>
        <v>.</v>
      </c>
    </row>
    <row r="35" spans="1:25" hidden="1">
      <c r="A35" s="2">
        <v>10</v>
      </c>
      <c r="B35" s="4">
        <v>5</v>
      </c>
      <c r="C35" s="4">
        <f>INT(B35/Summary!$E$4)</f>
        <v>10</v>
      </c>
      <c r="F35" s="2">
        <f>IF($C35&gt;0,COUNTIFS(Outputs!$I:$I,Reference!$A35,Outputs!$J:$J,MOD(F$24,$C35)),".")</f>
        <v>0</v>
      </c>
      <c r="G35" s="2">
        <f>IF($C35&gt;0,COUNTIFS(Outputs!$I:$I,Reference!$A35,Outputs!$J:$J,MOD(G$24,$C35)),".")</f>
        <v>0</v>
      </c>
      <c r="H35" s="2">
        <f>IF($C35&gt;0,COUNTIFS(Outputs!$I:$I,Reference!$A35,Outputs!$J:$J,MOD(H$24,$C35)),".")</f>
        <v>0</v>
      </c>
      <c r="I35" s="2">
        <f>IF($C35&gt;0,COUNTIFS(Outputs!$I:$I,Reference!$A35,Outputs!$J:$J,MOD(I$24,$C35)),".")</f>
        <v>0</v>
      </c>
      <c r="J35" s="2">
        <f>IF($C35&gt;0,COUNTIFS(Outputs!$I:$I,Reference!$A35,Outputs!$J:$J,MOD(J$24,$C35)),".")</f>
        <v>0</v>
      </c>
      <c r="K35" s="2">
        <f>IF($C35&gt;0,COUNTIFS(Outputs!$I:$I,Reference!$A35,Outputs!$J:$J,MOD(K$24,$C35)),".")</f>
        <v>0</v>
      </c>
      <c r="L35" s="2">
        <f>IF($C35&gt;0,COUNTIFS(Outputs!$I:$I,Reference!$A35,Outputs!$J:$J,MOD(L$24,$C35)),".")</f>
        <v>0</v>
      </c>
      <c r="M35" s="2">
        <f>IF($C35&gt;0,COUNTIFS(Outputs!$I:$I,Reference!$A35,Outputs!$J:$J,MOD(M$24,$C35)),".")</f>
        <v>0</v>
      </c>
      <c r="N35" s="2">
        <f>IF($C35&gt;0,COUNTIFS(Outputs!$I:$I,Reference!$A35,Outputs!$J:$J,MOD(N$24,$C35)),".")</f>
        <v>0</v>
      </c>
      <c r="O35" s="2">
        <f>IF($C35&gt;0,COUNTIFS(Outputs!$I:$I,Reference!$A35,Outputs!$J:$J,MOD(O$24,$C35)),".")</f>
        <v>0</v>
      </c>
      <c r="P35" s="2">
        <f>IF($C35&gt;0,COUNTIFS(Outputs!$I:$I,Reference!$A35,Outputs!$J:$J,MOD(P$24,$C35)),".")</f>
        <v>0</v>
      </c>
      <c r="Q35" s="2">
        <f>IF($C35&gt;0,COUNTIFS(Outputs!$I:$I,Reference!$A35,Outputs!$J:$J,MOD(Q$24,$C35)),".")</f>
        <v>0</v>
      </c>
      <c r="R35" s="2">
        <f>IF($C35&gt;0,COUNTIFS(Outputs!$I:$I,Reference!$A35,Outputs!$J:$J,MOD(R$24,$C35)),".")</f>
        <v>0</v>
      </c>
      <c r="S35" s="2">
        <f>IF($C35&gt;0,COUNTIFS(Outputs!$I:$I,Reference!$A35,Outputs!$J:$J,MOD(S$24,$C35)),".")</f>
        <v>0</v>
      </c>
      <c r="T35" s="2">
        <f>IF($C35&gt;0,COUNTIFS(Outputs!$I:$I,Reference!$A35,Outputs!$J:$J,MOD(T$24,$C35)),".")</f>
        <v>0</v>
      </c>
      <c r="U35" s="2">
        <f>IF($C35&gt;0,COUNTIFS(Outputs!$I:$I,Reference!$A35,Outputs!$J:$J,MOD(U$24,$C35)),".")</f>
        <v>0</v>
      </c>
      <c r="V35" s="2">
        <f>IF($C35&gt;0,COUNTIFS(Outputs!$I:$I,Reference!$A35,Outputs!$J:$J,MOD(V$24,$C35)),".")</f>
        <v>0</v>
      </c>
      <c r="W35" s="2">
        <f>IF($C35&gt;0,COUNTIFS(Outputs!$I:$I,Reference!$A35,Outputs!$J:$J,MOD(W$24,$C35)),".")</f>
        <v>0</v>
      </c>
      <c r="X35" s="2">
        <f>IF($C35&gt;0,COUNTIFS(Outputs!$I:$I,Reference!$A35,Outputs!$J:$J,MOD(X$24,$C35)),".")</f>
        <v>0</v>
      </c>
      <c r="Y35" s="2">
        <f>IF($C35&gt;0,COUNTIFS(Outputs!$I:$I,Reference!$A35,Outputs!$J:$J,MOD(Y$24,$C35)),".")</f>
        <v>0</v>
      </c>
    </row>
    <row r="36" spans="1:25" hidden="1">
      <c r="A36" s="2">
        <v>11</v>
      </c>
      <c r="B36" s="4">
        <v>0.6</v>
      </c>
      <c r="C36" s="4">
        <f>INT(B36/Summary!$E$4)</f>
        <v>1</v>
      </c>
      <c r="F36" s="2">
        <f>IF($C36&gt;0,COUNTIFS(Outputs!$I:$I,Reference!$A36,Outputs!$J:$J,MOD(F$24,$C36)),".")</f>
        <v>0</v>
      </c>
      <c r="G36" s="2">
        <f>IF($C36&gt;0,COUNTIFS(Outputs!$I:$I,Reference!$A36,Outputs!$J:$J,MOD(G$24,$C36)),".")</f>
        <v>0</v>
      </c>
      <c r="H36" s="2">
        <f>IF($C36&gt;0,COUNTIFS(Outputs!$I:$I,Reference!$A36,Outputs!$J:$J,MOD(H$24,$C36)),".")</f>
        <v>0</v>
      </c>
      <c r="I36" s="2">
        <f>IF($C36&gt;0,COUNTIFS(Outputs!$I:$I,Reference!$A36,Outputs!$J:$J,MOD(I$24,$C36)),".")</f>
        <v>0</v>
      </c>
      <c r="J36" s="2">
        <f>IF($C36&gt;0,COUNTIFS(Outputs!$I:$I,Reference!$A36,Outputs!$J:$J,MOD(J$24,$C36)),".")</f>
        <v>0</v>
      </c>
      <c r="K36" s="2">
        <f>IF($C36&gt;0,COUNTIFS(Outputs!$I:$I,Reference!$A36,Outputs!$J:$J,MOD(K$24,$C36)),".")</f>
        <v>0</v>
      </c>
      <c r="L36" s="2">
        <f>IF($C36&gt;0,COUNTIFS(Outputs!$I:$I,Reference!$A36,Outputs!$J:$J,MOD(L$24,$C36)),".")</f>
        <v>0</v>
      </c>
      <c r="M36" s="2">
        <f>IF($C36&gt;0,COUNTIFS(Outputs!$I:$I,Reference!$A36,Outputs!$J:$J,MOD(M$24,$C36)),".")</f>
        <v>0</v>
      </c>
      <c r="N36" s="2">
        <f>IF($C36&gt;0,COUNTIFS(Outputs!$I:$I,Reference!$A36,Outputs!$J:$J,MOD(N$24,$C36)),".")</f>
        <v>0</v>
      </c>
      <c r="O36" s="2">
        <f>IF($C36&gt;0,COUNTIFS(Outputs!$I:$I,Reference!$A36,Outputs!$J:$J,MOD(O$24,$C36)),".")</f>
        <v>0</v>
      </c>
      <c r="P36" s="2">
        <f>IF($C36&gt;0,COUNTIFS(Outputs!$I:$I,Reference!$A36,Outputs!$J:$J,MOD(P$24,$C36)),".")</f>
        <v>0</v>
      </c>
      <c r="Q36" s="2">
        <f>IF($C36&gt;0,COUNTIFS(Outputs!$I:$I,Reference!$A36,Outputs!$J:$J,MOD(Q$24,$C36)),".")</f>
        <v>0</v>
      </c>
      <c r="R36" s="2">
        <f>IF($C36&gt;0,COUNTIFS(Outputs!$I:$I,Reference!$A36,Outputs!$J:$J,MOD(R$24,$C36)),".")</f>
        <v>0</v>
      </c>
      <c r="S36" s="2">
        <f>IF($C36&gt;0,COUNTIFS(Outputs!$I:$I,Reference!$A36,Outputs!$J:$J,MOD(S$24,$C36)),".")</f>
        <v>0</v>
      </c>
      <c r="T36" s="2">
        <f>IF($C36&gt;0,COUNTIFS(Outputs!$I:$I,Reference!$A36,Outputs!$J:$J,MOD(T$24,$C36)),".")</f>
        <v>0</v>
      </c>
      <c r="U36" s="2">
        <f>IF($C36&gt;0,COUNTIFS(Outputs!$I:$I,Reference!$A36,Outputs!$J:$J,MOD(U$24,$C36)),".")</f>
        <v>0</v>
      </c>
      <c r="V36" s="2">
        <f>IF($C36&gt;0,COUNTIFS(Outputs!$I:$I,Reference!$A36,Outputs!$J:$J,MOD(V$24,$C36)),".")</f>
        <v>0</v>
      </c>
      <c r="W36" s="2">
        <f>IF($C36&gt;0,COUNTIFS(Outputs!$I:$I,Reference!$A36,Outputs!$J:$J,MOD(W$24,$C36)),".")</f>
        <v>0</v>
      </c>
      <c r="X36" s="2">
        <f>IF($C36&gt;0,COUNTIFS(Outputs!$I:$I,Reference!$A36,Outputs!$J:$J,MOD(X$24,$C36)),".")</f>
        <v>0</v>
      </c>
      <c r="Y36" s="2">
        <f>IF($C36&gt;0,COUNTIFS(Outputs!$I:$I,Reference!$A36,Outputs!$J:$J,MOD(Y$24,$C36)),".")</f>
        <v>0</v>
      </c>
    </row>
    <row r="37" spans="1:25" hidden="1">
      <c r="A37" s="2">
        <v>12</v>
      </c>
      <c r="B37" s="4">
        <v>6</v>
      </c>
      <c r="C37" s="4">
        <f>INT(B37/Summary!$E$4)</f>
        <v>12</v>
      </c>
      <c r="F37" s="2">
        <f>IF($C37&gt;0,COUNTIFS(Outputs!$I:$I,Reference!$A37,Outputs!$J:$J,MOD(F$24,$C37)),".")</f>
        <v>0</v>
      </c>
      <c r="G37" s="2">
        <f>IF($C37&gt;0,COUNTIFS(Outputs!$I:$I,Reference!$A37,Outputs!$J:$J,MOD(G$24,$C37)),".")</f>
        <v>0</v>
      </c>
      <c r="H37" s="2">
        <f>IF($C37&gt;0,COUNTIFS(Outputs!$I:$I,Reference!$A37,Outputs!$J:$J,MOD(H$24,$C37)),".")</f>
        <v>0</v>
      </c>
      <c r="I37" s="2">
        <f>IF($C37&gt;0,COUNTIFS(Outputs!$I:$I,Reference!$A37,Outputs!$J:$J,MOD(I$24,$C37)),".")</f>
        <v>0</v>
      </c>
      <c r="J37" s="2">
        <f>IF($C37&gt;0,COUNTIFS(Outputs!$I:$I,Reference!$A37,Outputs!$J:$J,MOD(J$24,$C37)),".")</f>
        <v>0</v>
      </c>
      <c r="K37" s="2">
        <f>IF($C37&gt;0,COUNTIFS(Outputs!$I:$I,Reference!$A37,Outputs!$J:$J,MOD(K$24,$C37)),".")</f>
        <v>0</v>
      </c>
      <c r="L37" s="2">
        <f>IF($C37&gt;0,COUNTIFS(Outputs!$I:$I,Reference!$A37,Outputs!$J:$J,MOD(L$24,$C37)),".")</f>
        <v>0</v>
      </c>
      <c r="M37" s="2">
        <f>IF($C37&gt;0,COUNTIFS(Outputs!$I:$I,Reference!$A37,Outputs!$J:$J,MOD(M$24,$C37)),".")</f>
        <v>0</v>
      </c>
      <c r="N37" s="2">
        <f>IF($C37&gt;0,COUNTIFS(Outputs!$I:$I,Reference!$A37,Outputs!$J:$J,MOD(N$24,$C37)),".")</f>
        <v>0</v>
      </c>
      <c r="O37" s="2">
        <f>IF($C37&gt;0,COUNTIFS(Outputs!$I:$I,Reference!$A37,Outputs!$J:$J,MOD(O$24,$C37)),".")</f>
        <v>0</v>
      </c>
      <c r="P37" s="2">
        <f>IF($C37&gt;0,COUNTIFS(Outputs!$I:$I,Reference!$A37,Outputs!$J:$J,MOD(P$24,$C37)),".")</f>
        <v>0</v>
      </c>
      <c r="Q37" s="2">
        <f>IF($C37&gt;0,COUNTIFS(Outputs!$I:$I,Reference!$A37,Outputs!$J:$J,MOD(Q$24,$C37)),".")</f>
        <v>0</v>
      </c>
      <c r="R37" s="2">
        <f>IF($C37&gt;0,COUNTIFS(Outputs!$I:$I,Reference!$A37,Outputs!$J:$J,MOD(R$24,$C37)),".")</f>
        <v>0</v>
      </c>
      <c r="S37" s="2">
        <f>IF($C37&gt;0,COUNTIFS(Outputs!$I:$I,Reference!$A37,Outputs!$J:$J,MOD(S$24,$C37)),".")</f>
        <v>0</v>
      </c>
      <c r="T37" s="2">
        <f>IF($C37&gt;0,COUNTIFS(Outputs!$I:$I,Reference!$A37,Outputs!$J:$J,MOD(T$24,$C37)),".")</f>
        <v>0</v>
      </c>
      <c r="U37" s="2">
        <f>IF($C37&gt;0,COUNTIFS(Outputs!$I:$I,Reference!$A37,Outputs!$J:$J,MOD(U$24,$C37)),".")</f>
        <v>0</v>
      </c>
      <c r="V37" s="2">
        <f>IF($C37&gt;0,COUNTIFS(Outputs!$I:$I,Reference!$A37,Outputs!$J:$J,MOD(V$24,$C37)),".")</f>
        <v>0</v>
      </c>
      <c r="W37" s="2">
        <f>IF($C37&gt;0,COUNTIFS(Outputs!$I:$I,Reference!$A37,Outputs!$J:$J,MOD(W$24,$C37)),".")</f>
        <v>0</v>
      </c>
      <c r="X37" s="2">
        <f>IF($C37&gt;0,COUNTIFS(Outputs!$I:$I,Reference!$A37,Outputs!$J:$J,MOD(X$24,$C37)),".")</f>
        <v>0</v>
      </c>
      <c r="Y37" s="2">
        <f>IF($C37&gt;0,COUNTIFS(Outputs!$I:$I,Reference!$A37,Outputs!$J:$J,MOD(Y$24,$C37)),".")</f>
        <v>0</v>
      </c>
    </row>
    <row r="38" spans="1:25" hidden="1">
      <c r="A38" s="2">
        <v>13</v>
      </c>
      <c r="B38" s="4">
        <v>0.05</v>
      </c>
      <c r="C38" s="4">
        <f>INT(B38/Summary!$E$4)</f>
        <v>0</v>
      </c>
      <c r="F38" s="2" t="str">
        <f>IF($C38&gt;0,COUNTIFS(Outputs!$I:$I,Reference!$A38,Outputs!$J:$J,MOD(F$24,$C38)),".")</f>
        <v>.</v>
      </c>
      <c r="G38" s="2" t="str">
        <f>IF($C38&gt;0,COUNTIFS(Outputs!$I:$I,Reference!$A38,Outputs!$J:$J,MOD(G$24,$C38)),".")</f>
        <v>.</v>
      </c>
      <c r="H38" s="2" t="str">
        <f>IF($C38&gt;0,COUNTIFS(Outputs!$I:$I,Reference!$A38,Outputs!$J:$J,MOD(H$24,$C38)),".")</f>
        <v>.</v>
      </c>
      <c r="I38" s="2" t="str">
        <f>IF($C38&gt;0,COUNTIFS(Outputs!$I:$I,Reference!$A38,Outputs!$J:$J,MOD(I$24,$C38)),".")</f>
        <v>.</v>
      </c>
      <c r="J38" s="2" t="str">
        <f>IF($C38&gt;0,COUNTIFS(Outputs!$I:$I,Reference!$A38,Outputs!$J:$J,MOD(J$24,$C38)),".")</f>
        <v>.</v>
      </c>
      <c r="K38" s="2" t="str">
        <f>IF($C38&gt;0,COUNTIFS(Outputs!$I:$I,Reference!$A38,Outputs!$J:$J,MOD(K$24,$C38)),".")</f>
        <v>.</v>
      </c>
      <c r="L38" s="2" t="str">
        <f>IF($C38&gt;0,COUNTIFS(Outputs!$I:$I,Reference!$A38,Outputs!$J:$J,MOD(L$24,$C38)),".")</f>
        <v>.</v>
      </c>
      <c r="M38" s="2" t="str">
        <f>IF($C38&gt;0,COUNTIFS(Outputs!$I:$I,Reference!$A38,Outputs!$J:$J,MOD(M$24,$C38)),".")</f>
        <v>.</v>
      </c>
      <c r="N38" s="2" t="str">
        <f>IF($C38&gt;0,COUNTIFS(Outputs!$I:$I,Reference!$A38,Outputs!$J:$J,MOD(N$24,$C38)),".")</f>
        <v>.</v>
      </c>
      <c r="O38" s="2" t="str">
        <f>IF($C38&gt;0,COUNTIFS(Outputs!$I:$I,Reference!$A38,Outputs!$J:$J,MOD(O$24,$C38)),".")</f>
        <v>.</v>
      </c>
      <c r="P38" s="2" t="str">
        <f>IF($C38&gt;0,COUNTIFS(Outputs!$I:$I,Reference!$A38,Outputs!$J:$J,MOD(P$24,$C38)),".")</f>
        <v>.</v>
      </c>
      <c r="Q38" s="2" t="str">
        <f>IF($C38&gt;0,COUNTIFS(Outputs!$I:$I,Reference!$A38,Outputs!$J:$J,MOD(Q$24,$C38)),".")</f>
        <v>.</v>
      </c>
      <c r="R38" s="2" t="str">
        <f>IF($C38&gt;0,COUNTIFS(Outputs!$I:$I,Reference!$A38,Outputs!$J:$J,MOD(R$24,$C38)),".")</f>
        <v>.</v>
      </c>
      <c r="S38" s="2" t="str">
        <f>IF($C38&gt;0,COUNTIFS(Outputs!$I:$I,Reference!$A38,Outputs!$J:$J,MOD(S$24,$C38)),".")</f>
        <v>.</v>
      </c>
      <c r="T38" s="2" t="str">
        <f>IF($C38&gt;0,COUNTIFS(Outputs!$I:$I,Reference!$A38,Outputs!$J:$J,MOD(T$24,$C38)),".")</f>
        <v>.</v>
      </c>
      <c r="U38" s="2" t="str">
        <f>IF($C38&gt;0,COUNTIFS(Outputs!$I:$I,Reference!$A38,Outputs!$J:$J,MOD(U$24,$C38)),".")</f>
        <v>.</v>
      </c>
      <c r="V38" s="2" t="str">
        <f>IF($C38&gt;0,COUNTIFS(Outputs!$I:$I,Reference!$A38,Outputs!$J:$J,MOD(V$24,$C38)),".")</f>
        <v>.</v>
      </c>
      <c r="W38" s="2" t="str">
        <f>IF($C38&gt;0,COUNTIFS(Outputs!$I:$I,Reference!$A38,Outputs!$J:$J,MOD(W$24,$C38)),".")</f>
        <v>.</v>
      </c>
      <c r="X38" s="2" t="str">
        <f>IF($C38&gt;0,COUNTIFS(Outputs!$I:$I,Reference!$A38,Outputs!$J:$J,MOD(X$24,$C38)),".")</f>
        <v>.</v>
      </c>
      <c r="Y38" s="2" t="str">
        <f>IF($C38&gt;0,COUNTIFS(Outputs!$I:$I,Reference!$A38,Outputs!$J:$J,MOD(Y$24,$C38)),".")</f>
        <v>.</v>
      </c>
    </row>
    <row r="39" spans="1:25" hidden="1">
      <c r="B39" s="3"/>
      <c r="C39" s="3"/>
    </row>
    <row r="40" spans="1:25">
      <c r="E40" s="5" t="s">
        <v>27</v>
      </c>
      <c r="F40" s="2">
        <f>SUM(F25:F38)</f>
        <v>1</v>
      </c>
      <c r="G40" s="2">
        <f t="shared" ref="G40:O40" si="1">SUM(G25:G38)</f>
        <v>1</v>
      </c>
      <c r="H40" s="2">
        <f t="shared" si="1"/>
        <v>1</v>
      </c>
      <c r="I40" s="2">
        <f t="shared" si="1"/>
        <v>1</v>
      </c>
      <c r="J40" s="2">
        <f t="shared" si="1"/>
        <v>1</v>
      </c>
      <c r="K40" s="2">
        <f t="shared" si="1"/>
        <v>1</v>
      </c>
      <c r="L40" s="2">
        <f t="shared" si="1"/>
        <v>1</v>
      </c>
      <c r="M40" s="2">
        <f t="shared" si="1"/>
        <v>1</v>
      </c>
      <c r="N40" s="2">
        <f t="shared" si="1"/>
        <v>1</v>
      </c>
      <c r="O40" s="2">
        <f t="shared" si="1"/>
        <v>1</v>
      </c>
      <c r="P40" s="2">
        <f t="shared" ref="P40:Y40" si="2">SUM(P25:P38)</f>
        <v>1</v>
      </c>
      <c r="Q40" s="2">
        <f t="shared" si="2"/>
        <v>1</v>
      </c>
      <c r="R40" s="2">
        <f t="shared" si="2"/>
        <v>1</v>
      </c>
      <c r="S40" s="2">
        <f t="shared" si="2"/>
        <v>1</v>
      </c>
      <c r="T40" s="2">
        <f t="shared" si="2"/>
        <v>1</v>
      </c>
      <c r="U40" s="2">
        <f t="shared" si="2"/>
        <v>1</v>
      </c>
      <c r="V40" s="2">
        <f t="shared" si="2"/>
        <v>1</v>
      </c>
      <c r="W40" s="2">
        <f t="shared" si="2"/>
        <v>1</v>
      </c>
      <c r="X40" s="2">
        <f t="shared" si="2"/>
        <v>1</v>
      </c>
      <c r="Y40" s="2">
        <f t="shared" si="2"/>
        <v>1</v>
      </c>
    </row>
    <row r="41" spans="1:25" hidden="1">
      <c r="E41" s="5" t="s">
        <v>23</v>
      </c>
      <c r="F41" s="2">
        <f>INT(F24*Summary!$E$4/Summary!$E$5)</f>
        <v>0</v>
      </c>
      <c r="G41" s="2">
        <f>INT(G24*Summary!$E$4/Summary!$E$5)</f>
        <v>0</v>
      </c>
      <c r="H41" s="2">
        <f>INT(H24*Summary!$E$4/Summary!$E$5)</f>
        <v>1</v>
      </c>
      <c r="I41" s="2">
        <f>INT(I24*Summary!$E$4/Summary!$E$5)</f>
        <v>1</v>
      </c>
      <c r="J41" s="2">
        <f>INT(J24*Summary!$E$4/Summary!$E$5)</f>
        <v>2</v>
      </c>
      <c r="K41" s="2">
        <f>INT(K24*Summary!$E$4/Summary!$E$5)</f>
        <v>2</v>
      </c>
      <c r="L41" s="2">
        <f>INT(L24*Summary!$E$4/Summary!$E$5)</f>
        <v>3</v>
      </c>
      <c r="M41" s="2">
        <f>INT(M24*Summary!$E$4/Summary!$E$5)</f>
        <v>3</v>
      </c>
      <c r="N41" s="2">
        <f>INT(N24*Summary!$E$4/Summary!$E$5)</f>
        <v>4</v>
      </c>
      <c r="O41" s="2">
        <f>INT(O24*Summary!$E$4/Summary!$E$5)</f>
        <v>4</v>
      </c>
      <c r="P41" s="2">
        <f>INT(P24*Summary!$E$4/Summary!$E$5)</f>
        <v>5</v>
      </c>
      <c r="Q41" s="2">
        <f>INT(Q24*Summary!$E$4/Summary!$E$5)</f>
        <v>5</v>
      </c>
      <c r="R41" s="2">
        <f>INT(R24*Summary!$E$4/Summary!$E$5)</f>
        <v>6</v>
      </c>
      <c r="S41" s="2">
        <f>INT(S24*Summary!$E$4/Summary!$E$5)</f>
        <v>6</v>
      </c>
      <c r="T41" s="2">
        <f>INT(T24*Summary!$E$4/Summary!$E$5)</f>
        <v>7</v>
      </c>
      <c r="U41" s="2">
        <f>INT(U24*Summary!$E$4/Summary!$E$5)</f>
        <v>7</v>
      </c>
      <c r="V41" s="2">
        <f>INT(V24*Summary!$E$4/Summary!$E$5)</f>
        <v>8</v>
      </c>
      <c r="W41" s="2">
        <f>INT(W24*Summary!$E$4/Summary!$E$5)</f>
        <v>8</v>
      </c>
      <c r="X41" s="2">
        <f>INT(X24*Summary!$E$4/Summary!$E$5)</f>
        <v>9</v>
      </c>
      <c r="Y41" s="2">
        <f>INT(Y24*Summary!$E$4/Summary!$E$5)</f>
        <v>9</v>
      </c>
    </row>
    <row r="42" spans="1:25" hidden="1"/>
    <row r="44" spans="1:25">
      <c r="F44" s="1" t="s">
        <v>22</v>
      </c>
    </row>
    <row r="45" spans="1:25">
      <c r="E45" s="5" t="s">
        <v>23</v>
      </c>
      <c r="F45" s="1">
        <v>0</v>
      </c>
      <c r="G45" s="1">
        <f>F45+1</f>
        <v>1</v>
      </c>
      <c r="H45" s="1">
        <f t="shared" ref="H45:Y45" si="3">G45+1</f>
        <v>2</v>
      </c>
      <c r="I45" s="1">
        <f t="shared" si="3"/>
        <v>3</v>
      </c>
      <c r="J45" s="1">
        <f t="shared" si="3"/>
        <v>4</v>
      </c>
      <c r="K45" s="1">
        <f t="shared" si="3"/>
        <v>5</v>
      </c>
      <c r="L45" s="1">
        <f t="shared" si="3"/>
        <v>6</v>
      </c>
      <c r="M45" s="1">
        <f t="shared" si="3"/>
        <v>7</v>
      </c>
      <c r="N45" s="1">
        <f t="shared" si="3"/>
        <v>8</v>
      </c>
      <c r="O45" s="1">
        <f t="shared" si="3"/>
        <v>9</v>
      </c>
      <c r="P45" s="1">
        <f t="shared" si="3"/>
        <v>10</v>
      </c>
      <c r="Q45" s="1">
        <f t="shared" si="3"/>
        <v>11</v>
      </c>
      <c r="R45" s="1">
        <f t="shared" si="3"/>
        <v>12</v>
      </c>
      <c r="S45" s="1">
        <f t="shared" si="3"/>
        <v>13</v>
      </c>
      <c r="T45" s="1">
        <f t="shared" si="3"/>
        <v>14</v>
      </c>
      <c r="U45" s="1">
        <f t="shared" si="3"/>
        <v>15</v>
      </c>
      <c r="V45" s="1">
        <f t="shared" si="3"/>
        <v>16</v>
      </c>
      <c r="W45" s="1">
        <f t="shared" si="3"/>
        <v>17</v>
      </c>
      <c r="X45" s="1">
        <f t="shared" si="3"/>
        <v>18</v>
      </c>
      <c r="Y45" s="1">
        <f t="shared" si="3"/>
        <v>19</v>
      </c>
    </row>
    <row r="46" spans="1:25" hidden="1">
      <c r="E46" s="5" t="s">
        <v>24</v>
      </c>
      <c r="F46" s="2">
        <f>F45*Summary!$E$5</f>
        <v>0</v>
      </c>
      <c r="G46" s="2">
        <f>G45*Summary!$E$5</f>
        <v>1</v>
      </c>
      <c r="H46" s="2">
        <f>H45*Summary!$E$5</f>
        <v>2</v>
      </c>
      <c r="I46" s="2">
        <f>I45*Summary!$E$5</f>
        <v>3</v>
      </c>
      <c r="J46" s="2">
        <f>J45*Summary!$E$5</f>
        <v>4</v>
      </c>
      <c r="K46" s="2">
        <f>K45*Summary!$E$5</f>
        <v>5</v>
      </c>
      <c r="L46" s="2">
        <f>L45*Summary!$E$5</f>
        <v>6</v>
      </c>
      <c r="M46" s="2">
        <f>M45*Summary!$E$5</f>
        <v>7</v>
      </c>
      <c r="N46" s="2">
        <f>N45*Summary!$E$5</f>
        <v>8</v>
      </c>
      <c r="O46" s="2">
        <f>O45*Summary!$E$5</f>
        <v>9</v>
      </c>
      <c r="P46" s="2">
        <f>P45*Summary!$E$5</f>
        <v>10</v>
      </c>
      <c r="Q46" s="2">
        <f>Q45*Summary!$E$5</f>
        <v>11</v>
      </c>
      <c r="R46" s="2">
        <f>R45*Summary!$E$5</f>
        <v>12</v>
      </c>
      <c r="S46" s="2">
        <f>S45*Summary!$E$5</f>
        <v>13</v>
      </c>
      <c r="T46" s="2">
        <f>T45*Summary!$E$5</f>
        <v>14</v>
      </c>
      <c r="U46" s="2">
        <f>U45*Summary!$E$5</f>
        <v>15</v>
      </c>
      <c r="V46" s="2">
        <f>V45*Summary!$E$5</f>
        <v>16</v>
      </c>
      <c r="W46" s="2">
        <f>W45*Summary!$E$5</f>
        <v>17</v>
      </c>
      <c r="X46" s="2">
        <f>X45*Summary!$E$5</f>
        <v>18</v>
      </c>
      <c r="Y46" s="2">
        <f>Y45*Summary!$E$5</f>
        <v>19</v>
      </c>
    </row>
    <row r="47" spans="1:25">
      <c r="E47" s="5" t="s">
        <v>25</v>
      </c>
      <c r="F47" s="2">
        <f>SUMIF($F$41:$O$41,F45,$F$40:$O$40)</f>
        <v>2</v>
      </c>
      <c r="G47" s="2">
        <f>SUMIF($F$41:$O$41,G45,$F$40:$O$40)</f>
        <v>2</v>
      </c>
      <c r="H47" s="2">
        <f>SUMIF($F$41:$O$41,H45,$F$40:$O$40)</f>
        <v>2</v>
      </c>
      <c r="I47" s="2">
        <f>SUMIF($F$41:$O$41,I45,$F$40:$O$40)</f>
        <v>2</v>
      </c>
      <c r="J47" s="2">
        <f>SUMIF($F$41:$O$41,J45,$F$40:$O$40)</f>
        <v>2</v>
      </c>
      <c r="K47" s="2">
        <f t="shared" ref="K47:Y47" si="4">SUMIF($F$41:$O$41,MOD(K45,MAX($F$41:$O$41)),$F$40:$O$40)</f>
        <v>2</v>
      </c>
      <c r="L47" s="2">
        <f t="shared" si="4"/>
        <v>2</v>
      </c>
      <c r="M47" s="2">
        <f t="shared" si="4"/>
        <v>2</v>
      </c>
      <c r="N47" s="2">
        <f t="shared" si="4"/>
        <v>2</v>
      </c>
      <c r="O47" s="2">
        <f t="shared" si="4"/>
        <v>2</v>
      </c>
      <c r="P47" s="2">
        <f t="shared" si="4"/>
        <v>2</v>
      </c>
      <c r="Q47" s="2">
        <f t="shared" si="4"/>
        <v>2</v>
      </c>
      <c r="R47" s="2">
        <f t="shared" si="4"/>
        <v>2</v>
      </c>
      <c r="S47" s="2">
        <f t="shared" si="4"/>
        <v>2</v>
      </c>
      <c r="T47" s="2">
        <f t="shared" si="4"/>
        <v>2</v>
      </c>
      <c r="U47" s="2">
        <f t="shared" si="4"/>
        <v>2</v>
      </c>
      <c r="V47" s="2">
        <f t="shared" si="4"/>
        <v>2</v>
      </c>
      <c r="W47" s="2">
        <f t="shared" si="4"/>
        <v>2</v>
      </c>
      <c r="X47" s="2">
        <f t="shared" si="4"/>
        <v>2</v>
      </c>
      <c r="Y47" s="2">
        <f t="shared" si="4"/>
        <v>2</v>
      </c>
    </row>
    <row r="49" spans="2:2">
      <c r="B49" s="2" t="s">
        <v>59</v>
      </c>
    </row>
    <row r="50" spans="2:2">
      <c r="B50" s="2">
        <v>300</v>
      </c>
    </row>
    <row r="51" spans="2:2">
      <c r="B51" s="2">
        <v>600</v>
      </c>
    </row>
    <row r="52" spans="2:2">
      <c r="B52" s="2">
        <v>1200</v>
      </c>
    </row>
    <row r="53" spans="2:2">
      <c r="B53" s="2">
        <v>2400</v>
      </c>
    </row>
    <row r="54" spans="2:2">
      <c r="B54" s="2">
        <v>4800</v>
      </c>
    </row>
    <row r="55" spans="2:2">
      <c r="B55" s="2">
        <v>9600</v>
      </c>
    </row>
    <row r="56" spans="2:2">
      <c r="B56" s="2">
        <v>19200</v>
      </c>
    </row>
    <row r="57" spans="2:2">
      <c r="B57" s="2">
        <v>38400</v>
      </c>
    </row>
  </sheetData>
  <sheetProtection password="CA1B" sheet="1" objects="1" scenarios="1"/>
  <mergeCells count="1">
    <mergeCell ref="G20:Y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Summary</vt:lpstr>
      <vt:lpstr>Inputs</vt:lpstr>
      <vt:lpstr>Outputs</vt:lpstr>
      <vt:lpstr>Reference</vt:lpstr>
      <vt:lpstr>Baud_Rate</vt:lpstr>
      <vt:lpstr>Input_Blocks</vt:lpstr>
      <vt:lpstr>Output_Blocks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FDSI Sizing Guideline for Modbus Master Driver Spreadsheet (.xlsm)</dc:title>
  <dc:creator>Chris Hu</dc:creator>
  <cp:lastModifiedBy>jgiovino</cp:lastModifiedBy>
  <cp:lastPrinted>2011-12-27T13:36:36Z</cp:lastPrinted>
  <dcterms:created xsi:type="dcterms:W3CDTF">2011-06-17T14:58:52Z</dcterms:created>
  <dcterms:modified xsi:type="dcterms:W3CDTF">2014-02-19T20:14:01Z</dcterms:modified>
</cp:coreProperties>
</file>